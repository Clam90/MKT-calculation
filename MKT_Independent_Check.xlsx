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mber_A" sheetId="1" state="visible" r:id="rId1"/>
    <sheet xmlns:r="http://schemas.openxmlformats.org/officeDocument/2006/relationships" name="Chamber_B_missing" sheetId="2" state="visible" r:id="rId2"/>
    <sheet xmlns:r="http://schemas.openxmlformats.org/officeDocument/2006/relationships" name="Chamber_C_mixed" sheetId="3" state="visible" r:id="rId3"/>
    <sheet xmlns:r="http://schemas.openxmlformats.org/officeDocument/2006/relationships" name="No_Temp_Column" sheetId="4" state="visible" r:id="rId4"/>
    <sheet xmlns:r="http://schemas.openxmlformats.org/officeDocument/2006/relationships" name="Empty_Temps" sheetId="5" state="visible" r:id="rId5"/>
    <sheet xmlns:r="http://schemas.openxmlformats.org/officeDocument/2006/relationships" name="Independent_Che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Timestamp</t>
        </is>
      </c>
      <c r="B1" t="inlineStr">
        <is>
          <t>Temp_C</t>
        </is>
      </c>
      <c r="C1" t="inlineStr">
        <is>
          <t>Humidity (%)</t>
        </is>
      </c>
      <c r="D1" t="inlineStr">
        <is>
          <t>Note</t>
        </is>
      </c>
    </row>
    <row r="2">
      <c r="A2" s="1" t="n">
        <v>45992</v>
      </c>
      <c r="B2" t="n">
        <v>5.12</v>
      </c>
      <c r="C2" t="n">
        <v>52.66263051357156</v>
      </c>
      <c r="D2" t="inlineStr">
        <is>
          <t>sensor_check</t>
        </is>
      </c>
    </row>
    <row r="3">
      <c r="A3" s="1" t="n">
        <v>45992.00694444445</v>
      </c>
      <c r="B3" t="n">
        <v>4.85</v>
      </c>
      <c r="C3" t="n">
        <v>54.17209385547231</v>
      </c>
    </row>
    <row r="4">
      <c r="A4" s="1" t="n">
        <v>45992.01388888889</v>
      </c>
      <c r="B4" t="n">
        <v>5.82</v>
      </c>
      <c r="C4" t="n">
        <v>52.98418097434492</v>
      </c>
    </row>
    <row r="5">
      <c r="A5" s="1" t="n">
        <v>45992.02083333334</v>
      </c>
      <c r="B5" t="n">
        <v>6.16</v>
      </c>
      <c r="C5" t="n">
        <v>56.22050009681975</v>
      </c>
    </row>
    <row r="6">
      <c r="A6" s="1" t="n">
        <v>45992.02777777778</v>
      </c>
      <c r="B6" t="n">
        <v>5.25</v>
      </c>
      <c r="C6" t="n">
        <v>66.77193578394525</v>
      </c>
    </row>
    <row r="7">
      <c r="A7" s="1" t="n">
        <v>45992.03472222222</v>
      </c>
      <c r="B7" t="n">
        <v>5.75</v>
      </c>
      <c r="C7" t="n">
        <v>34.46673247254962</v>
      </c>
    </row>
    <row r="8">
      <c r="A8" s="1" t="n">
        <v>45992.04166666666</v>
      </c>
      <c r="B8" t="n">
        <v>6.56</v>
      </c>
      <c r="C8" t="n">
        <v>53.10519788392253</v>
      </c>
    </row>
    <row r="9">
      <c r="A9" s="1" t="n">
        <v>45992.04861111111</v>
      </c>
      <c r="B9" t="n">
        <v>6.6</v>
      </c>
      <c r="C9" t="n">
        <v>56.41209937097958</v>
      </c>
    </row>
    <row r="10">
      <c r="A10" s="1" t="n">
        <v>45992.05555555555</v>
      </c>
      <c r="B10" t="n">
        <v>6.93</v>
      </c>
      <c r="C10" t="n">
        <v>57.3679519174968</v>
      </c>
    </row>
    <row r="11">
      <c r="A11" s="1" t="n">
        <v>45992.0625</v>
      </c>
      <c r="B11" t="n">
        <v>6.79</v>
      </c>
      <c r="C11" t="n">
        <v>52.02468334942968</v>
      </c>
    </row>
    <row r="12">
      <c r="A12" s="1" t="n">
        <v>45992.06944444445</v>
      </c>
      <c r="B12" t="n">
        <v>7.66</v>
      </c>
      <c r="C12" t="n">
        <v>40.94622574017134</v>
      </c>
    </row>
    <row r="13">
      <c r="A13" s="1" t="n">
        <v>45992.07638888889</v>
      </c>
      <c r="B13" t="n">
        <v>7.77</v>
      </c>
      <c r="C13" t="n">
        <v>57.62396386971287</v>
      </c>
    </row>
    <row r="14">
      <c r="A14" s="1" t="n">
        <v>45992.08333333334</v>
      </c>
      <c r="B14" t="n">
        <v>7.63</v>
      </c>
      <c r="C14" t="n">
        <v>68.81880171331348</v>
      </c>
    </row>
    <row r="15">
      <c r="A15" s="1" t="n">
        <v>45992.09027777778</v>
      </c>
      <c r="B15" t="n">
        <v>8.17</v>
      </c>
      <c r="C15" t="n">
        <v>42.7291087606709</v>
      </c>
    </row>
    <row r="16">
      <c r="A16" s="1" t="n">
        <v>45992.09722222222</v>
      </c>
      <c r="B16" t="n">
        <v>8.01</v>
      </c>
      <c r="C16" t="n">
        <v>61.91062410958551</v>
      </c>
    </row>
    <row r="17">
      <c r="A17" s="1" t="n">
        <v>45992.10416666666</v>
      </c>
      <c r="B17" t="n">
        <v>7.56</v>
      </c>
      <c r="C17" t="n">
        <v>52.37179821501685</v>
      </c>
    </row>
    <row r="18">
      <c r="A18" s="1" t="n">
        <v>45992.11111111111</v>
      </c>
      <c r="B18" t="n">
        <v>8.1</v>
      </c>
      <c r="C18" t="n">
        <v>54.50940523336922</v>
      </c>
    </row>
    <row r="19">
      <c r="A19" s="1" t="n">
        <v>45992.11805555555</v>
      </c>
      <c r="B19" t="n">
        <v>7.61</v>
      </c>
      <c r="C19" t="n">
        <v>46.57681191436841</v>
      </c>
      <c r="D19" t="inlineStr">
        <is>
          <t>sensor_check</t>
        </is>
      </c>
    </row>
    <row r="20">
      <c r="A20" s="1" t="n">
        <v>45992.125</v>
      </c>
      <c r="B20" t="n">
        <v>8.35</v>
      </c>
      <c r="C20" t="n">
        <v>52.32435062115299</v>
      </c>
    </row>
    <row r="21">
      <c r="A21" s="1" t="n">
        <v>45992.13194444445</v>
      </c>
      <c r="B21" t="n">
        <v>7.97</v>
      </c>
      <c r="C21" t="n">
        <v>65.40035675759167</v>
      </c>
    </row>
    <row r="22">
      <c r="A22" s="1" t="n">
        <v>45992.13888888889</v>
      </c>
      <c r="B22" t="n">
        <v>7.88</v>
      </c>
      <c r="C22" t="n">
        <v>59.66124193590166</v>
      </c>
    </row>
    <row r="23">
      <c r="A23" s="1" t="n">
        <v>45992.14583333334</v>
      </c>
      <c r="B23" t="n">
        <v>7.62</v>
      </c>
      <c r="C23" t="n">
        <v>68.85849284327955</v>
      </c>
    </row>
    <row r="24">
      <c r="A24" s="1" t="n">
        <v>45992.15277777778</v>
      </c>
      <c r="B24" t="n">
        <v>8.300000000000001</v>
      </c>
      <c r="C24" t="n">
        <v>64.41929511182155</v>
      </c>
    </row>
    <row r="25">
      <c r="A25" s="1" t="n">
        <v>45992.15972222222</v>
      </c>
      <c r="B25" t="n">
        <v>7.65</v>
      </c>
      <c r="C25" t="n">
        <v>58.51269343143661</v>
      </c>
    </row>
    <row r="26">
      <c r="A26" s="1" t="n">
        <v>45992.16666666666</v>
      </c>
      <c r="B26" t="n">
        <v>7.42</v>
      </c>
      <c r="C26" t="n">
        <v>68.95147620934233</v>
      </c>
    </row>
    <row r="27">
      <c r="A27" s="1" t="n">
        <v>45992.17361111111</v>
      </c>
      <c r="B27" t="n">
        <v>7.3</v>
      </c>
      <c r="C27" t="n">
        <v>58.51194526990639</v>
      </c>
    </row>
    <row r="28">
      <c r="A28" s="1" t="n">
        <v>45992.18055555555</v>
      </c>
      <c r="B28" t="n">
        <v>7.5</v>
      </c>
      <c r="C28" t="n">
        <v>61.62390541437647</v>
      </c>
    </row>
    <row r="29">
      <c r="A29" s="1" t="n">
        <v>45992.1875</v>
      </c>
      <c r="B29" t="n">
        <v>7.25</v>
      </c>
      <c r="C29" t="n">
        <v>52.62743237172234</v>
      </c>
    </row>
    <row r="30">
      <c r="A30" s="1" t="n">
        <v>45992.19444444445</v>
      </c>
      <c r="B30" t="n">
        <v>7.07</v>
      </c>
      <c r="C30" t="n">
        <v>55.53236652687364</v>
      </c>
    </row>
    <row r="31">
      <c r="A31" s="1" t="n">
        <v>45992.20138888889</v>
      </c>
      <c r="B31" t="n">
        <v>6.87</v>
      </c>
      <c r="C31" t="n">
        <v>49.42060941359779</v>
      </c>
    </row>
    <row r="32">
      <c r="A32" s="1" t="n">
        <v>45992.20833333334</v>
      </c>
      <c r="B32" t="n">
        <v>7.33</v>
      </c>
      <c r="C32" t="n">
        <v>62.91667147675882</v>
      </c>
    </row>
    <row r="33">
      <c r="A33" s="1" t="n">
        <v>45992.21527777778</v>
      </c>
      <c r="B33" t="n">
        <v>6.08</v>
      </c>
      <c r="C33" t="n">
        <v>45.57357101508107</v>
      </c>
    </row>
    <row r="34">
      <c r="A34" s="1" t="n">
        <v>45992.22222222222</v>
      </c>
      <c r="B34" t="n">
        <v>5.79</v>
      </c>
      <c r="C34" t="n">
        <v>61.25880273934129</v>
      </c>
    </row>
    <row r="35">
      <c r="A35" s="1" t="n">
        <v>45992.22916666666</v>
      </c>
      <c r="B35" t="n">
        <v>5.42</v>
      </c>
      <c r="C35" t="n">
        <v>53.47479153995872</v>
      </c>
    </row>
    <row r="36">
      <c r="A36" s="1" t="n">
        <v>45992.23611111111</v>
      </c>
      <c r="B36" t="n">
        <v>5.74</v>
      </c>
      <c r="C36" t="n">
        <v>64.36997674773855</v>
      </c>
      <c r="D36" t="inlineStr">
        <is>
          <t>sensor_check</t>
        </is>
      </c>
    </row>
    <row r="37">
      <c r="A37" s="1" t="n">
        <v>45992.24305555555</v>
      </c>
      <c r="B37" t="n">
        <v>5.68</v>
      </c>
      <c r="C37" t="n">
        <v>61.00695190985008</v>
      </c>
    </row>
    <row r="38">
      <c r="A38" s="1" t="n">
        <v>45992.25</v>
      </c>
      <c r="B38" t="n">
        <v>4.92</v>
      </c>
      <c r="C38" t="n">
        <v>69.56516926117442</v>
      </c>
    </row>
    <row r="39">
      <c r="A39" s="1" t="n">
        <v>45992.25694444445</v>
      </c>
      <c r="B39" t="n">
        <v>4.37</v>
      </c>
      <c r="C39" t="n">
        <v>60.84619752910916</v>
      </c>
    </row>
    <row r="40">
      <c r="A40" s="1" t="n">
        <v>45992.26388888889</v>
      </c>
      <c r="B40" t="n">
        <v>4.12</v>
      </c>
      <c r="C40" t="n">
        <v>42.42367795477408</v>
      </c>
    </row>
    <row r="41">
      <c r="A41" s="1" t="n">
        <v>45992.27083333334</v>
      </c>
      <c r="B41" t="n">
        <v>4.45</v>
      </c>
      <c r="C41" t="n">
        <v>54.4643746168144</v>
      </c>
    </row>
    <row r="42">
      <c r="A42" s="1" t="n">
        <v>45992.27777777778</v>
      </c>
      <c r="B42" t="n">
        <v>4.24</v>
      </c>
      <c r="C42" t="n">
        <v>45.62394245924148</v>
      </c>
    </row>
    <row r="43">
      <c r="A43" s="1" t="n">
        <v>45992.28472222222</v>
      </c>
      <c r="B43" t="n">
        <v>3.92</v>
      </c>
      <c r="C43" t="n">
        <v>50.85376126106981</v>
      </c>
    </row>
    <row r="44">
      <c r="A44" s="1" t="n">
        <v>45992.29166666666</v>
      </c>
      <c r="B44" t="n">
        <v>3.2</v>
      </c>
      <c r="C44" t="n">
        <v>67.08982746621378</v>
      </c>
    </row>
    <row r="45">
      <c r="A45" s="1" t="n">
        <v>45992.29861111111</v>
      </c>
      <c r="B45" t="n">
        <v>3.34</v>
      </c>
      <c r="C45" t="n">
        <v>60.10027048718157</v>
      </c>
    </row>
    <row r="46">
      <c r="A46" s="1" t="n">
        <v>45992.30555555555</v>
      </c>
      <c r="B46" t="n">
        <v>3.09</v>
      </c>
      <c r="C46" t="n">
        <v>49.40855657137003</v>
      </c>
    </row>
    <row r="47">
      <c r="A47" s="1" t="n">
        <v>45992.3125</v>
      </c>
      <c r="B47" t="n">
        <v>2.94</v>
      </c>
      <c r="C47" t="n">
        <v>46.89026106847681</v>
      </c>
    </row>
    <row r="48">
      <c r="A48" s="1" t="n">
        <v>45992.31944444445</v>
      </c>
      <c r="B48" t="n">
        <v>3.02</v>
      </c>
      <c r="C48" t="n">
        <v>55.26225674301008</v>
      </c>
    </row>
    <row r="49">
      <c r="A49" s="1" t="n">
        <v>45992.32638888889</v>
      </c>
      <c r="B49" t="n">
        <v>2.61</v>
      </c>
      <c r="C49" t="n">
        <v>45.26751880495098</v>
      </c>
    </row>
    <row r="50">
      <c r="A50" s="1" t="n">
        <v>45992.33333333334</v>
      </c>
      <c r="B50" t="n">
        <v>2.65</v>
      </c>
      <c r="C50" t="n">
        <v>49.63087778082735</v>
      </c>
    </row>
    <row r="51">
      <c r="A51" s="1" t="n">
        <v>45992.34027777778</v>
      </c>
      <c r="B51" t="n">
        <v>2.29</v>
      </c>
      <c r="C51" t="n">
        <v>57.49607577240995</v>
      </c>
    </row>
    <row r="52">
      <c r="A52" s="1" t="n">
        <v>45992.34722222222</v>
      </c>
      <c r="B52" t="n">
        <v>2.28</v>
      </c>
      <c r="C52" t="n">
        <v>64.24249628885357</v>
      </c>
    </row>
    <row r="53">
      <c r="A53" s="1" t="n">
        <v>45992.35416666666</v>
      </c>
      <c r="B53" t="n">
        <v>2.34</v>
      </c>
      <c r="C53" t="n">
        <v>59.87009177779552</v>
      </c>
      <c r="D53" t="inlineStr">
        <is>
          <t>sensor_check</t>
        </is>
      </c>
    </row>
    <row r="54">
      <c r="A54" s="1" t="n">
        <v>45992.36111111111</v>
      </c>
      <c r="B54" t="n">
        <v>1.45</v>
      </c>
      <c r="C54" t="n">
        <v>36.6696839312152</v>
      </c>
    </row>
    <row r="55">
      <c r="A55" s="1" t="n">
        <v>45992.36805555555</v>
      </c>
      <c r="B55" t="n">
        <v>1.88</v>
      </c>
      <c r="C55" t="n">
        <v>57.43493383224208</v>
      </c>
    </row>
    <row r="56">
      <c r="A56" s="1" t="n">
        <v>45992.375</v>
      </c>
      <c r="B56" t="n">
        <v>1.81</v>
      </c>
      <c r="C56" t="n">
        <v>55.57626858586062</v>
      </c>
    </row>
    <row r="57">
      <c r="A57" s="1" t="n">
        <v>45992.38194444445</v>
      </c>
      <c r="B57" t="n">
        <v>1.76</v>
      </c>
      <c r="C57" t="n">
        <v>58.31112228298154</v>
      </c>
    </row>
    <row r="58">
      <c r="A58" s="1" t="n">
        <v>45992.38888888889</v>
      </c>
      <c r="B58" t="n">
        <v>1.94</v>
      </c>
      <c r="C58" t="n">
        <v>67.92967745320966</v>
      </c>
    </row>
    <row r="59">
      <c r="A59" s="1" t="n">
        <v>45992.39583333334</v>
      </c>
      <c r="B59" t="n">
        <v>2.71</v>
      </c>
      <c r="C59" t="n">
        <v>38.49409378556206</v>
      </c>
    </row>
    <row r="60">
      <c r="A60" s="1" t="n">
        <v>45992.40277777778</v>
      </c>
      <c r="B60" t="n">
        <v>1.85</v>
      </c>
      <c r="C60" t="n">
        <v>50.27117259847115</v>
      </c>
    </row>
    <row r="61">
      <c r="A61" s="1" t="n">
        <v>45992.40972222222</v>
      </c>
      <c r="B61" t="n">
        <v>2.69</v>
      </c>
      <c r="C61" t="n">
        <v>59.72725058234684</v>
      </c>
    </row>
    <row r="62">
      <c r="A62" s="1" t="n">
        <v>45992.41666666666</v>
      </c>
      <c r="B62" t="n">
        <v>1.76</v>
      </c>
      <c r="C62" t="n">
        <v>42.34724480436846</v>
      </c>
    </row>
    <row r="63">
      <c r="A63" s="1" t="n">
        <v>45992.42361111111</v>
      </c>
      <c r="B63" t="n">
        <v>2.44</v>
      </c>
      <c r="C63" t="n">
        <v>66.80759238442808</v>
      </c>
    </row>
    <row r="64">
      <c r="A64" s="1" t="n">
        <v>45992.43055555555</v>
      </c>
      <c r="B64" t="n">
        <v>2.8</v>
      </c>
      <c r="C64" t="n">
        <v>57.94685290160527</v>
      </c>
    </row>
    <row r="65">
      <c r="A65" s="1" t="n">
        <v>45992.4375</v>
      </c>
      <c r="B65" t="n">
        <v>3.15</v>
      </c>
      <c r="C65" t="n">
        <v>61.77267188674723</v>
      </c>
    </row>
    <row r="66">
      <c r="A66" s="1" t="n">
        <v>45992.44444444445</v>
      </c>
      <c r="B66" t="n">
        <v>3.4</v>
      </c>
      <c r="C66" t="n">
        <v>50.43245070782564</v>
      </c>
    </row>
    <row r="67">
      <c r="A67" s="1" t="n">
        <v>45992.45138888889</v>
      </c>
      <c r="B67" t="n">
        <v>3.65</v>
      </c>
      <c r="C67" t="n">
        <v>61.51010951972968</v>
      </c>
    </row>
    <row r="68">
      <c r="A68" s="1" t="n">
        <v>45992.45833333334</v>
      </c>
      <c r="B68" t="n">
        <v>3.41</v>
      </c>
      <c r="C68" t="n">
        <v>63.54777244791231</v>
      </c>
    </row>
    <row r="69">
      <c r="A69" s="1" t="n">
        <v>45992.46527777778</v>
      </c>
      <c r="B69" t="n">
        <v>3.6</v>
      </c>
      <c r="C69" t="n">
        <v>56.86302416109735</v>
      </c>
    </row>
    <row r="70">
      <c r="A70" s="1" t="n">
        <v>45992.47222222222</v>
      </c>
      <c r="B70" t="n">
        <v>4.38</v>
      </c>
      <c r="C70" t="n">
        <v>56.87520714158957</v>
      </c>
      <c r="D70" t="inlineStr">
        <is>
          <t>sensor_check</t>
        </is>
      </c>
    </row>
    <row r="71">
      <c r="A71" s="1" t="n">
        <v>45992.47916666666</v>
      </c>
      <c r="B71" t="n">
        <v>4.21</v>
      </c>
      <c r="C71" t="n">
        <v>57.1627459142538</v>
      </c>
    </row>
    <row r="72">
      <c r="A72" s="1" t="n">
        <v>45992.48611111111</v>
      </c>
      <c r="B72" t="n">
        <v>4.03</v>
      </c>
      <c r="C72" t="n">
        <v>48.09323788208495</v>
      </c>
    </row>
    <row r="73">
      <c r="A73" s="1" t="n">
        <v>45992.49305555555</v>
      </c>
      <c r="B73" t="n">
        <v>4.35</v>
      </c>
      <c r="C73" t="n">
        <v>53.81977055807717</v>
      </c>
    </row>
    <row r="74">
      <c r="A74" s="1" t="n">
        <v>45992.5</v>
      </c>
      <c r="B74" t="n">
        <v>4.7</v>
      </c>
      <c r="C74" t="n">
        <v>53.77981974038113</v>
      </c>
    </row>
    <row r="75">
      <c r="A75" s="1" t="n">
        <v>45992.50694444445</v>
      </c>
      <c r="B75" t="n">
        <v>5.53</v>
      </c>
      <c r="C75" t="n">
        <v>58.06715091482796</v>
      </c>
    </row>
    <row r="76">
      <c r="A76" s="1" t="n">
        <v>45992.51388888889</v>
      </c>
      <c r="B76" t="n">
        <v>5.64</v>
      </c>
      <c r="C76" t="n">
        <v>62.99859397528235</v>
      </c>
    </row>
    <row r="77">
      <c r="A77" s="1" t="n">
        <v>45992.52083333334</v>
      </c>
      <c r="B77" t="n">
        <v>6.12</v>
      </c>
      <c r="C77" t="n">
        <v>46.53171134417273</v>
      </c>
    </row>
    <row r="78">
      <c r="A78" s="1" t="n">
        <v>45992.52777777778</v>
      </c>
      <c r="B78" t="n">
        <v>5.92</v>
      </c>
      <c r="C78" t="n">
        <v>53.99992775744338</v>
      </c>
    </row>
    <row r="79">
      <c r="A79" s="1" t="n">
        <v>45992.53472222222</v>
      </c>
      <c r="B79" t="n">
        <v>6.39</v>
      </c>
      <c r="C79" t="n">
        <v>66.85164438127178</v>
      </c>
    </row>
    <row r="80">
      <c r="A80" s="1" t="n">
        <v>45992.54166666666</v>
      </c>
      <c r="B80" t="n">
        <v>6.81</v>
      </c>
      <c r="C80" t="n">
        <v>49.05129416949949</v>
      </c>
    </row>
    <row r="81">
      <c r="A81" s="1" t="n">
        <v>45992.54861111111</v>
      </c>
      <c r="B81" t="n">
        <v>6.66</v>
      </c>
      <c r="C81" t="n">
        <v>48.42199986167743</v>
      </c>
    </row>
    <row r="82">
      <c r="A82" s="1" t="n">
        <v>45992.55555555555</v>
      </c>
      <c r="B82" t="n">
        <v>7.17</v>
      </c>
      <c r="C82" t="n">
        <v>56.61844953464955</v>
      </c>
    </row>
    <row r="83">
      <c r="A83" s="1" t="n">
        <v>45992.5625</v>
      </c>
      <c r="B83" t="n">
        <v>6.91</v>
      </c>
      <c r="C83" t="n">
        <v>61.75508152388256</v>
      </c>
    </row>
    <row r="84">
      <c r="A84" s="1" t="n">
        <v>45992.56944444445</v>
      </c>
      <c r="B84" t="n">
        <v>7.2</v>
      </c>
      <c r="C84" t="n">
        <v>55.09140844448527</v>
      </c>
    </row>
    <row r="85">
      <c r="A85" s="1" t="n">
        <v>45992.57638888889</v>
      </c>
      <c r="B85" t="n">
        <v>7.35</v>
      </c>
      <c r="C85" t="n">
        <v>65.63168472349591</v>
      </c>
    </row>
    <row r="86">
      <c r="A86" s="1" t="n">
        <v>45992.58333333334</v>
      </c>
      <c r="B86" t="n">
        <v>7.16</v>
      </c>
      <c r="C86" t="n">
        <v>61.85435186053221</v>
      </c>
    </row>
    <row r="87">
      <c r="A87" s="1" t="n">
        <v>45992.59027777778</v>
      </c>
      <c r="B87" t="n">
        <v>7.95</v>
      </c>
      <c r="C87" t="n">
        <v>61.73456053512049</v>
      </c>
      <c r="D87" t="inlineStr">
        <is>
          <t>sensor_check</t>
        </is>
      </c>
    </row>
    <row r="88">
      <c r="A88" s="1" t="n">
        <v>45992.59722222222</v>
      </c>
      <c r="B88" t="n">
        <v>7.66</v>
      </c>
      <c r="C88" t="n">
        <v>59.43293201059274</v>
      </c>
    </row>
    <row r="89">
      <c r="A89" s="1" t="n">
        <v>45992.60416666666</v>
      </c>
      <c r="B89" t="n">
        <v>7.92</v>
      </c>
      <c r="C89" t="n">
        <v>73.62122480276868</v>
      </c>
    </row>
    <row r="90">
      <c r="A90" s="1" t="n">
        <v>45992.61111111111</v>
      </c>
      <c r="B90" t="n">
        <v>8.16</v>
      </c>
      <c r="C90" t="n">
        <v>53.35870648907164</v>
      </c>
    </row>
    <row r="91">
      <c r="A91" s="1" t="n">
        <v>45992.61805555555</v>
      </c>
      <c r="B91" t="n">
        <v>8.17</v>
      </c>
      <c r="C91" t="n">
        <v>38.97182166346789</v>
      </c>
    </row>
    <row r="92">
      <c r="A92" s="1" t="n">
        <v>45992.625</v>
      </c>
      <c r="B92" t="n">
        <v>8.27</v>
      </c>
      <c r="C92" t="n">
        <v>67.83403489213713</v>
      </c>
    </row>
    <row r="93">
      <c r="A93" s="1" t="n">
        <v>45992.63194444445</v>
      </c>
      <c r="B93" t="n">
        <v>7.94</v>
      </c>
      <c r="C93" t="n">
        <v>51.33840455234539</v>
      </c>
    </row>
    <row r="94">
      <c r="A94" s="1" t="n">
        <v>45992.63888888889</v>
      </c>
      <c r="B94" t="n">
        <v>7.77</v>
      </c>
      <c r="C94" t="n">
        <v>55.86304355474427</v>
      </c>
    </row>
    <row r="95">
      <c r="A95" s="1" t="n">
        <v>45992.64583333334</v>
      </c>
      <c r="B95" t="n">
        <v>7.84</v>
      </c>
      <c r="C95" t="n">
        <v>65.47640547888422</v>
      </c>
    </row>
    <row r="96">
      <c r="A96" s="1" t="n">
        <v>45992.65277777778</v>
      </c>
      <c r="B96" t="n">
        <v>7.11</v>
      </c>
      <c r="C96" t="n">
        <v>42.18192367152859</v>
      </c>
    </row>
    <row r="97">
      <c r="A97" s="1" t="n">
        <v>45992.65972222222</v>
      </c>
      <c r="B97" t="n">
        <v>7.1</v>
      </c>
      <c r="C97" t="n">
        <v>44.98682228715089</v>
      </c>
    </row>
    <row r="98">
      <c r="A98" s="1" t="n">
        <v>45992.66666666666</v>
      </c>
      <c r="B98" t="n">
        <v>7.02</v>
      </c>
      <c r="C98" t="n">
        <v>42.18977650304917</v>
      </c>
    </row>
    <row r="99">
      <c r="A99" s="1" t="n">
        <v>45992.67361111111</v>
      </c>
      <c r="B99" t="n">
        <v>7.01</v>
      </c>
      <c r="C99" t="n">
        <v>48.64690967979661</v>
      </c>
    </row>
    <row r="100">
      <c r="A100" s="1" t="n">
        <v>45992.68055555555</v>
      </c>
      <c r="B100" t="n">
        <v>7.4</v>
      </c>
      <c r="C100" t="n">
        <v>58.51709284813595</v>
      </c>
    </row>
    <row r="101">
      <c r="A101" s="1" t="n">
        <v>45992.6875</v>
      </c>
      <c r="B101" t="n">
        <v>6.69</v>
      </c>
      <c r="C101" t="n">
        <v>59.19350274250217</v>
      </c>
    </row>
    <row r="102">
      <c r="A102" s="1" t="n">
        <v>45992.69444444445</v>
      </c>
      <c r="B102" t="n">
        <v>6.71</v>
      </c>
      <c r="C102" t="n">
        <v>57.21019343462843</v>
      </c>
    </row>
    <row r="103">
      <c r="A103" s="1" t="n">
        <v>45992.70138888889</v>
      </c>
      <c r="B103" t="n">
        <v>7.16</v>
      </c>
      <c r="C103" t="n">
        <v>43.69787292886107</v>
      </c>
    </row>
    <row r="104">
      <c r="A104" s="1" t="n">
        <v>45992.70833333334</v>
      </c>
      <c r="B104" t="n">
        <v>6.28</v>
      </c>
      <c r="C104" t="n">
        <v>36.51917250693884</v>
      </c>
      <c r="D104" t="inlineStr">
        <is>
          <t>sensor_check</t>
        </is>
      </c>
    </row>
    <row r="105">
      <c r="A105" s="1" t="n">
        <v>45992.71527777778</v>
      </c>
      <c r="B105" t="n">
        <v>6.48</v>
      </c>
      <c r="C105" t="n">
        <v>55.43482868312306</v>
      </c>
    </row>
    <row r="106">
      <c r="A106" s="1" t="n">
        <v>45992.72222222222</v>
      </c>
      <c r="B106" t="n">
        <v>5.56</v>
      </c>
      <c r="C106" t="n">
        <v>51.22579173089331</v>
      </c>
    </row>
    <row r="107">
      <c r="A107" s="1" t="n">
        <v>45992.72916666666</v>
      </c>
      <c r="B107" t="n">
        <v>5.6</v>
      </c>
      <c r="C107" t="n">
        <v>58.67508617373289</v>
      </c>
    </row>
    <row r="108">
      <c r="A108" s="1" t="n">
        <v>45992.73611111111</v>
      </c>
      <c r="B108" t="n">
        <v>5.05</v>
      </c>
      <c r="C108" t="n">
        <v>60.61562900977016</v>
      </c>
    </row>
    <row r="109">
      <c r="A109" s="1" t="n">
        <v>45992.74305555555</v>
      </c>
      <c r="B109" t="n">
        <v>5.03</v>
      </c>
      <c r="C109" t="n">
        <v>56.10593145646946</v>
      </c>
    </row>
    <row r="110">
      <c r="A110" s="1" t="n">
        <v>45992.75</v>
      </c>
      <c r="B110" t="n">
        <v>5.24</v>
      </c>
      <c r="C110" t="n">
        <v>61.08106468300683</v>
      </c>
    </row>
    <row r="111">
      <c r="A111" s="1" t="n">
        <v>45992.75694444445</v>
      </c>
      <c r="B111" t="n">
        <v>3.95</v>
      </c>
      <c r="C111" t="n">
        <v>56.83369099292054</v>
      </c>
    </row>
    <row r="112">
      <c r="A112" s="1" t="n">
        <v>45992.76388888889</v>
      </c>
      <c r="B112" t="n">
        <v>4.55</v>
      </c>
      <c r="C112" t="n">
        <v>59.24051764481173</v>
      </c>
    </row>
    <row r="113">
      <c r="A113" s="1" t="n">
        <v>45992.77083333334</v>
      </c>
      <c r="B113" t="n">
        <v>4.22</v>
      </c>
      <c r="C113" t="n">
        <v>49.36261389704094</v>
      </c>
    </row>
    <row r="114">
      <c r="A114" s="1" t="n">
        <v>45992.77777777778</v>
      </c>
      <c r="B114" t="n">
        <v>3.64</v>
      </c>
      <c r="C114" t="n">
        <v>53.56310868934833</v>
      </c>
    </row>
    <row r="115">
      <c r="A115" s="1" t="n">
        <v>45992.78472222222</v>
      </c>
      <c r="B115" t="n">
        <v>3.06</v>
      </c>
      <c r="C115" t="n">
        <v>56.57420877325566</v>
      </c>
    </row>
    <row r="116">
      <c r="A116" s="1" t="n">
        <v>45992.79166666666</v>
      </c>
      <c r="B116" t="n">
        <v>3.44</v>
      </c>
      <c r="C116" t="n">
        <v>61.56422780333935</v>
      </c>
    </row>
    <row r="117">
      <c r="A117" s="1" t="n">
        <v>45992.79861111111</v>
      </c>
      <c r="B117" t="n">
        <v>2.98</v>
      </c>
      <c r="C117" t="n">
        <v>51.85007062220343</v>
      </c>
    </row>
    <row r="118">
      <c r="A118" s="1" t="n">
        <v>45992.80555555555</v>
      </c>
      <c r="B118" t="n">
        <v>3.08</v>
      </c>
      <c r="C118" t="n">
        <v>59.1693380458569</v>
      </c>
    </row>
    <row r="119">
      <c r="A119" s="1" t="n">
        <v>45992.8125</v>
      </c>
      <c r="B119" t="n">
        <v>2.81</v>
      </c>
      <c r="C119" t="n">
        <v>52.87328966467697</v>
      </c>
    </row>
    <row r="120">
      <c r="A120" s="1" t="n">
        <v>45992.81944444445</v>
      </c>
      <c r="B120" t="n">
        <v>3.27</v>
      </c>
      <c r="C120" t="n">
        <v>54.05966266137496</v>
      </c>
    </row>
    <row r="121">
      <c r="A121" s="1" t="n">
        <v>45992.82638888889</v>
      </c>
      <c r="B121" t="n">
        <v>2.39</v>
      </c>
      <c r="C121" t="n">
        <v>61.63615233619258</v>
      </c>
      <c r="D121" t="inlineStr">
        <is>
          <t>sensor_check</t>
        </is>
      </c>
    </row>
    <row r="122">
      <c r="A122" s="1" t="n">
        <v>45992.83333333334</v>
      </c>
      <c r="B122" t="n">
        <v>1.94</v>
      </c>
      <c r="C122" t="n">
        <v>39.05551703156675</v>
      </c>
    </row>
    <row r="123">
      <c r="A123" s="1" t="n">
        <v>45992.84027777778</v>
      </c>
      <c r="B123" t="n">
        <v>2.31</v>
      </c>
      <c r="C123" t="n">
        <v>44.62822137540191</v>
      </c>
    </row>
    <row r="124">
      <c r="A124" s="1" t="n">
        <v>45992.84722222222</v>
      </c>
      <c r="B124" t="n">
        <v>2.23</v>
      </c>
      <c r="C124" t="n">
        <v>43.14251682045743</v>
      </c>
    </row>
    <row r="125">
      <c r="A125" s="1" t="n">
        <v>45992.85416666666</v>
      </c>
      <c r="B125" t="n">
        <v>2.62</v>
      </c>
      <c r="C125" t="n">
        <v>36.33107104121356</v>
      </c>
    </row>
    <row r="126">
      <c r="A126" s="1" t="n">
        <v>45992.86111111111</v>
      </c>
      <c r="B126" t="n">
        <v>2.36</v>
      </c>
      <c r="C126" t="n">
        <v>49.57388447875859</v>
      </c>
    </row>
    <row r="127">
      <c r="A127" s="1" t="n">
        <v>45992.86805555555</v>
      </c>
      <c r="B127" t="n">
        <v>2.15</v>
      </c>
      <c r="C127" t="n">
        <v>60.99547119782192</v>
      </c>
    </row>
    <row r="128">
      <c r="A128" s="1" t="n">
        <v>45992.875</v>
      </c>
      <c r="B128" t="n">
        <v>2.59</v>
      </c>
      <c r="C128" t="n">
        <v>52.7209274689394</v>
      </c>
    </row>
    <row r="129">
      <c r="A129" s="1" t="n">
        <v>45992.88194444445</v>
      </c>
      <c r="B129" t="n">
        <v>1.55</v>
      </c>
      <c r="C129" t="n">
        <v>56.58232065553482</v>
      </c>
    </row>
    <row r="130">
      <c r="A130" s="1" t="n">
        <v>45992.88888888889</v>
      </c>
      <c r="B130" t="n">
        <v>1.81</v>
      </c>
      <c r="C130" t="n">
        <v>63.71373997368634</v>
      </c>
    </row>
    <row r="131">
      <c r="A131" s="1" t="n">
        <v>45992.89583333334</v>
      </c>
      <c r="B131" t="n">
        <v>1.76</v>
      </c>
      <c r="C131" t="n">
        <v>65.62148905814153</v>
      </c>
    </row>
    <row r="132">
      <c r="A132" s="1" t="n">
        <v>45992.90277777778</v>
      </c>
      <c r="B132" t="n">
        <v>2.07</v>
      </c>
      <c r="C132" t="n">
        <v>54.44689652219088</v>
      </c>
    </row>
    <row r="133">
      <c r="A133" s="1" t="n">
        <v>45992.90972222222</v>
      </c>
      <c r="B133" t="n">
        <v>1.78</v>
      </c>
      <c r="C133" t="n">
        <v>65.82868711655517</v>
      </c>
    </row>
    <row r="134">
      <c r="A134" s="1" t="n">
        <v>45992.91666666666</v>
      </c>
      <c r="B134" t="n">
        <v>2.72</v>
      </c>
      <c r="C134" t="n">
        <v>55.73701326747288</v>
      </c>
    </row>
    <row r="135">
      <c r="A135" s="1" t="n">
        <v>45992.92361111111</v>
      </c>
      <c r="B135" t="n">
        <v>2.53</v>
      </c>
      <c r="C135" t="n">
        <v>48.30081420938031</v>
      </c>
    </row>
    <row r="136">
      <c r="A136" s="1" t="n">
        <v>45992.93055555555</v>
      </c>
      <c r="B136" t="n">
        <v>2.19</v>
      </c>
      <c r="C136" t="n">
        <v>50.24479718241012</v>
      </c>
    </row>
    <row r="137">
      <c r="A137" s="1" t="n">
        <v>45992.9375</v>
      </c>
      <c r="B137" t="n">
        <v>2.56</v>
      </c>
      <c r="C137" t="n">
        <v>43.15570789947987</v>
      </c>
    </row>
    <row r="138">
      <c r="A138" s="1" t="n">
        <v>45992.94444444445</v>
      </c>
      <c r="B138" t="n">
        <v>3.29</v>
      </c>
      <c r="C138" t="n">
        <v>47.89492917013078</v>
      </c>
      <c r="D138" t="inlineStr">
        <is>
          <t>sensor_check</t>
        </is>
      </c>
    </row>
    <row r="139">
      <c r="A139" s="1" t="n">
        <v>45992.95138888889</v>
      </c>
      <c r="B139" t="n">
        <v>3.72</v>
      </c>
      <c r="C139" t="n">
        <v>52.13586649540456</v>
      </c>
    </row>
    <row r="140">
      <c r="A140" s="1" t="n">
        <v>45992.95833333334</v>
      </c>
      <c r="B140" t="n">
        <v>4.41</v>
      </c>
      <c r="C140" t="n">
        <v>61.42868015502881</v>
      </c>
    </row>
    <row r="141">
      <c r="A141" s="1" t="n">
        <v>45992.96527777778</v>
      </c>
      <c r="B141" t="n">
        <v>5.01</v>
      </c>
      <c r="C141" t="n">
        <v>68.76615864932788</v>
      </c>
    </row>
    <row r="142">
      <c r="A142" s="1" t="n">
        <v>45992.97222222222</v>
      </c>
      <c r="B142" t="n">
        <v>4.26</v>
      </c>
      <c r="C142" t="n">
        <v>43.94254787698368</v>
      </c>
    </row>
    <row r="143">
      <c r="A143" s="1" t="n">
        <v>45992.97916666666</v>
      </c>
      <c r="B143" t="n">
        <v>3.95</v>
      </c>
      <c r="C143" t="n">
        <v>58.14261974607935</v>
      </c>
    </row>
    <row r="144">
      <c r="A144" s="1" t="n">
        <v>45992.98611111111</v>
      </c>
      <c r="B144" t="n">
        <v>3.75</v>
      </c>
      <c r="C144" t="n">
        <v>46.67564848673972</v>
      </c>
    </row>
    <row r="145">
      <c r="A145" s="1" t="n">
        <v>45992.99305555555</v>
      </c>
      <c r="B145" t="n">
        <v>4.98</v>
      </c>
      <c r="C145" t="n">
        <v>58.79757670770562</v>
      </c>
    </row>
    <row r="146">
      <c r="A146" s="1" t="n">
        <v>45993</v>
      </c>
      <c r="B146" t="n">
        <v>4.81</v>
      </c>
      <c r="C146" t="n">
        <v>53.95130679449819</v>
      </c>
    </row>
    <row r="147">
      <c r="A147" s="1" t="n">
        <v>45993.00694444445</v>
      </c>
      <c r="B147" t="n">
        <v>5.23</v>
      </c>
      <c r="C147" t="n">
        <v>40.35275339321976</v>
      </c>
    </row>
    <row r="148">
      <c r="A148" s="1" t="n">
        <v>45993.01388888889</v>
      </c>
      <c r="B148" t="n">
        <v>5.41</v>
      </c>
      <c r="C148" t="n">
        <v>62.42637593254788</v>
      </c>
    </row>
    <row r="149">
      <c r="A149" s="1" t="n">
        <v>45993.02083333334</v>
      </c>
      <c r="B149" t="n">
        <v>5.85</v>
      </c>
      <c r="C149" t="n">
        <v>50.15999429753015</v>
      </c>
    </row>
    <row r="150">
      <c r="A150" s="1" t="n">
        <v>45993.02777777778</v>
      </c>
      <c r="B150" t="n">
        <v>6.58</v>
      </c>
      <c r="C150" t="n">
        <v>50.72879809301156</v>
      </c>
    </row>
    <row r="151">
      <c r="A151" s="1" t="n">
        <v>45993.03472222222</v>
      </c>
      <c r="B151" t="n">
        <v>6.45</v>
      </c>
      <c r="C151" t="n">
        <v>46.44198070968248</v>
      </c>
    </row>
    <row r="152">
      <c r="A152" s="1" t="n">
        <v>45993.04166666666</v>
      </c>
      <c r="B152" t="n">
        <v>6.55</v>
      </c>
      <c r="C152" t="n">
        <v>49.76573378649955</v>
      </c>
    </row>
    <row r="153">
      <c r="A153" s="1" t="n">
        <v>45993.04861111111</v>
      </c>
      <c r="B153" t="n">
        <v>6.42</v>
      </c>
      <c r="C153" t="n">
        <v>58.42312352555934</v>
      </c>
    </row>
    <row r="154">
      <c r="A154" s="1" t="n">
        <v>45993.05555555555</v>
      </c>
      <c r="B154" t="n">
        <v>6.36</v>
      </c>
      <c r="C154" t="n">
        <v>53.48604527250875</v>
      </c>
    </row>
    <row r="155">
      <c r="A155" s="1" t="n">
        <v>45993.0625</v>
      </c>
      <c r="B155" t="n">
        <v>7.02</v>
      </c>
      <c r="C155" t="n">
        <v>57.62929601825985</v>
      </c>
      <c r="D155" t="inlineStr">
        <is>
          <t>sensor_check</t>
        </is>
      </c>
    </row>
    <row r="156">
      <c r="A156" s="1" t="n">
        <v>45993.06944444445</v>
      </c>
      <c r="B156" t="n">
        <v>7.36</v>
      </c>
      <c r="C156" t="n">
        <v>57.89537483143075</v>
      </c>
    </row>
    <row r="157">
      <c r="A157" s="1" t="n">
        <v>45993.07638888889</v>
      </c>
      <c r="B157" t="n">
        <v>8.24</v>
      </c>
      <c r="C157" t="n">
        <v>65.56529324422533</v>
      </c>
    </row>
    <row r="158">
      <c r="A158" s="1" t="n">
        <v>45993.08333333334</v>
      </c>
      <c r="B158" t="n">
        <v>7.72</v>
      </c>
      <c r="C158" t="n">
        <v>52.25771079308497</v>
      </c>
    </row>
    <row r="159">
      <c r="A159" s="1" t="n">
        <v>45993.09027777778</v>
      </c>
      <c r="B159" t="n">
        <v>8.17</v>
      </c>
      <c r="C159" t="n">
        <v>43.18513746523415</v>
      </c>
    </row>
    <row r="160">
      <c r="A160" s="1" t="n">
        <v>45993.09722222222</v>
      </c>
      <c r="B160" t="n">
        <v>7.67</v>
      </c>
      <c r="C160" t="n">
        <v>63.53777933257587</v>
      </c>
    </row>
    <row r="161">
      <c r="A161" s="1" t="n">
        <v>45993.10416666666</v>
      </c>
      <c r="B161" t="n">
        <v>7.46</v>
      </c>
      <c r="C161" t="n">
        <v>52.34809462322196</v>
      </c>
    </row>
    <row r="162">
      <c r="A162" s="1" t="n">
        <v>45993.11111111111</v>
      </c>
      <c r="B162" t="n">
        <v>7.59</v>
      </c>
      <c r="C162" t="n">
        <v>63.91673955661901</v>
      </c>
    </row>
    <row r="163">
      <c r="A163" s="1" t="n">
        <v>45993.11805555555</v>
      </c>
      <c r="B163" t="n">
        <v>7.71</v>
      </c>
      <c r="C163" t="n">
        <v>58.06701690545977</v>
      </c>
    </row>
    <row r="164">
      <c r="A164" s="1" t="n">
        <v>45993.125</v>
      </c>
      <c r="B164" t="n">
        <v>8.85</v>
      </c>
      <c r="C164" t="n">
        <v>53.95089975837324</v>
      </c>
    </row>
    <row r="165">
      <c r="A165" s="1" t="n">
        <v>45993.13194444445</v>
      </c>
      <c r="B165" t="n">
        <v>7.64</v>
      </c>
      <c r="C165" t="n">
        <v>57.79020715237036</v>
      </c>
    </row>
    <row r="166">
      <c r="A166" s="1" t="n">
        <v>45993.13888888889</v>
      </c>
      <c r="B166" t="n">
        <v>8.26</v>
      </c>
      <c r="C166" t="n">
        <v>70.6081004810104</v>
      </c>
    </row>
    <row r="167">
      <c r="A167" s="1" t="n">
        <v>45993.14583333334</v>
      </c>
      <c r="B167" t="n">
        <v>7.49</v>
      </c>
      <c r="C167" t="n">
        <v>71.61584423243002</v>
      </c>
    </row>
    <row r="168">
      <c r="A168" s="1" t="n">
        <v>45993.15277777778</v>
      </c>
      <c r="B168" t="n">
        <v>8.140000000000001</v>
      </c>
      <c r="C168" t="n">
        <v>55.55504908106223</v>
      </c>
    </row>
    <row r="169">
      <c r="A169" s="1" t="n">
        <v>45993.15972222222</v>
      </c>
      <c r="B169" t="n">
        <v>7.81</v>
      </c>
      <c r="C169" t="n">
        <v>56.2815247465366</v>
      </c>
    </row>
    <row r="170">
      <c r="A170" s="1" t="n">
        <v>45993.16666666666</v>
      </c>
      <c r="B170" t="n">
        <v>7.46</v>
      </c>
      <c r="C170" t="n">
        <v>63.60992125973108</v>
      </c>
    </row>
    <row r="171">
      <c r="A171" s="1" t="n">
        <v>45993.17361111111</v>
      </c>
      <c r="B171" t="n">
        <v>7.35</v>
      </c>
      <c r="C171" t="n">
        <v>48.23471173786123</v>
      </c>
    </row>
    <row r="172">
      <c r="A172" s="1" t="n">
        <v>45993.18055555555</v>
      </c>
      <c r="B172" t="n">
        <v>6.93</v>
      </c>
      <c r="C172" t="n">
        <v>57.66456298094604</v>
      </c>
      <c r="D172" t="inlineStr">
        <is>
          <t>sensor_check</t>
        </is>
      </c>
    </row>
    <row r="173">
      <c r="A173" s="1" t="n">
        <v>45993.1875</v>
      </c>
      <c r="B173" t="n">
        <v>7.19</v>
      </c>
      <c r="C173" t="n">
        <v>54.79309721636915</v>
      </c>
    </row>
    <row r="174">
      <c r="A174" s="1" t="n">
        <v>45993.19444444445</v>
      </c>
      <c r="B174" t="n">
        <v>6.62</v>
      </c>
      <c r="C174" t="n">
        <v>57.51126569166043</v>
      </c>
    </row>
    <row r="175">
      <c r="A175" s="1" t="n">
        <v>45993.20138888889</v>
      </c>
      <c r="B175" t="n">
        <v>6.1</v>
      </c>
      <c r="C175" t="n">
        <v>48.33304955240475</v>
      </c>
    </row>
    <row r="176">
      <c r="A176" s="1" t="n">
        <v>45993.20833333334</v>
      </c>
      <c r="B176" t="n">
        <v>5.85</v>
      </c>
      <c r="C176" t="n">
        <v>42.28346005352824</v>
      </c>
    </row>
    <row r="177">
      <c r="A177" s="1" t="n">
        <v>45993.21527777778</v>
      </c>
      <c r="B177" t="n">
        <v>6.19</v>
      </c>
      <c r="C177" t="n">
        <v>38.41613251206967</v>
      </c>
    </row>
    <row r="178">
      <c r="A178" s="1" t="n">
        <v>45993.22222222222</v>
      </c>
      <c r="B178" t="n">
        <v>6.51</v>
      </c>
      <c r="C178" t="n">
        <v>46.06092709608313</v>
      </c>
    </row>
    <row r="179">
      <c r="A179" s="1" t="n">
        <v>45993.22916666666</v>
      </c>
      <c r="B179" t="n">
        <v>5.68</v>
      </c>
      <c r="C179" t="n">
        <v>51.33059772048534</v>
      </c>
    </row>
    <row r="180">
      <c r="A180" s="1" t="n">
        <v>45993.23611111111</v>
      </c>
      <c r="B180" t="n">
        <v>5.31</v>
      </c>
      <c r="C180" t="n">
        <v>52.65446730680991</v>
      </c>
    </row>
    <row r="181">
      <c r="A181" s="1" t="n">
        <v>45993.24305555555</v>
      </c>
      <c r="B181" t="n">
        <v>5.21</v>
      </c>
      <c r="C181" t="n">
        <v>70.49784929943614</v>
      </c>
    </row>
    <row r="182">
      <c r="A182" s="1" t="n">
        <v>45993.25</v>
      </c>
      <c r="B182" t="n">
        <v>5.36</v>
      </c>
      <c r="C182" t="n">
        <v>63.84794695925839</v>
      </c>
    </row>
    <row r="183">
      <c r="A183" s="1" t="n">
        <v>45993.25694444445</v>
      </c>
      <c r="B183" t="n">
        <v>4.66</v>
      </c>
      <c r="C183" t="n">
        <v>47.30327106926698</v>
      </c>
    </row>
    <row r="184">
      <c r="A184" s="1" t="n">
        <v>45993.26388888889</v>
      </c>
      <c r="B184" t="n">
        <v>4.15</v>
      </c>
      <c r="C184" t="n">
        <v>57.78166761960765</v>
      </c>
    </row>
    <row r="185">
      <c r="A185" s="1" t="n">
        <v>45993.27083333334</v>
      </c>
      <c r="B185" t="n">
        <v>4.51</v>
      </c>
      <c r="C185" t="n">
        <v>51.7433741091974</v>
      </c>
    </row>
    <row r="186">
      <c r="A186" s="1" t="n">
        <v>45993.27777777778</v>
      </c>
      <c r="B186" t="n">
        <v>3.99</v>
      </c>
      <c r="C186" t="n">
        <v>52.72508929567924</v>
      </c>
    </row>
    <row r="187">
      <c r="A187" s="1" t="n">
        <v>45993.28472222222</v>
      </c>
      <c r="B187" t="n">
        <v>4.2</v>
      </c>
      <c r="C187" t="n">
        <v>56.48260519532305</v>
      </c>
    </row>
    <row r="188">
      <c r="A188" s="1" t="n">
        <v>45993.29166666666</v>
      </c>
      <c r="B188" t="n">
        <v>3.43</v>
      </c>
      <c r="C188" t="n">
        <v>59.95336893580315</v>
      </c>
    </row>
    <row r="189">
      <c r="A189" s="1" t="n">
        <v>45993.29861111111</v>
      </c>
      <c r="B189" t="n">
        <v>2.65</v>
      </c>
      <c r="C189" t="n">
        <v>52.28593212892788</v>
      </c>
      <c r="D189" t="inlineStr">
        <is>
          <t>sensor_check</t>
        </is>
      </c>
    </row>
    <row r="190">
      <c r="A190" s="1" t="n">
        <v>45993.30555555555</v>
      </c>
      <c r="B190" t="n">
        <v>2.4</v>
      </c>
      <c r="C190" t="n">
        <v>63.51081226187487</v>
      </c>
    </row>
    <row r="191">
      <c r="A191" s="1" t="n">
        <v>45993.3125</v>
      </c>
      <c r="B191" t="n">
        <v>3.42</v>
      </c>
      <c r="C191" t="n">
        <v>45.86449419086077</v>
      </c>
    </row>
    <row r="192">
      <c r="A192" s="1" t="n">
        <v>45993.31944444445</v>
      </c>
      <c r="B192" t="n">
        <v>3.28</v>
      </c>
      <c r="C192" t="n">
        <v>55.05071249889815</v>
      </c>
    </row>
    <row r="193">
      <c r="A193" s="1" t="n">
        <v>45993.32638888889</v>
      </c>
      <c r="B193" t="n">
        <v>2.38</v>
      </c>
      <c r="C193" t="n">
        <v>75.78138981276666</v>
      </c>
    </row>
    <row r="194">
      <c r="A194" s="1" t="n">
        <v>45993.33333333334</v>
      </c>
      <c r="B194" t="n">
        <v>2.17</v>
      </c>
      <c r="C194" t="n">
        <v>56.7846379410022</v>
      </c>
    </row>
    <row r="195">
      <c r="A195" s="1" t="n">
        <v>45993.34027777778</v>
      </c>
      <c r="B195" t="n">
        <v>2.8</v>
      </c>
      <c r="C195" t="n">
        <v>66.46571605284939</v>
      </c>
    </row>
    <row r="196">
      <c r="A196" s="1" t="n">
        <v>45993.34722222222</v>
      </c>
      <c r="B196" t="n">
        <v>1.68</v>
      </c>
      <c r="C196" t="n">
        <v>55.73216142538566</v>
      </c>
    </row>
    <row r="197">
      <c r="A197" s="1" t="n">
        <v>45993.35416666666</v>
      </c>
      <c r="B197" t="n">
        <v>1.7</v>
      </c>
      <c r="C197" t="n">
        <v>59.64621676263837</v>
      </c>
    </row>
    <row r="198">
      <c r="A198" s="1" t="n">
        <v>45993.36111111111</v>
      </c>
      <c r="B198" t="n">
        <v>2.28</v>
      </c>
      <c r="C198" t="n">
        <v>54.54573444485847</v>
      </c>
    </row>
    <row r="199">
      <c r="A199" s="1" t="n">
        <v>45993.36805555555</v>
      </c>
      <c r="B199" t="n">
        <v>1.84</v>
      </c>
      <c r="C199" t="n">
        <v>53.63673935068636</v>
      </c>
    </row>
    <row r="200">
      <c r="A200" s="1" t="n">
        <v>45993.375</v>
      </c>
      <c r="B200" t="n">
        <v>2</v>
      </c>
      <c r="C200" t="n">
        <v>48.76414082619664</v>
      </c>
    </row>
    <row r="201">
      <c r="A201" s="1" t="n">
        <v>45993.38194444445</v>
      </c>
      <c r="B201" t="n">
        <v>1.97</v>
      </c>
      <c r="C201" t="n">
        <v>58.44241087166043</v>
      </c>
    </row>
    <row r="202">
      <c r="A202" s="1" t="n">
        <v>45993.38888888889</v>
      </c>
      <c r="B202" t="n">
        <v>2.22</v>
      </c>
      <c r="C202" t="n">
        <v>48.18770248651386</v>
      </c>
    </row>
    <row r="203">
      <c r="A203" s="1" t="n">
        <v>45993.39583333334</v>
      </c>
      <c r="B203" t="n">
        <v>2.72</v>
      </c>
      <c r="C203" t="n">
        <v>60.32468189050743</v>
      </c>
    </row>
    <row r="204">
      <c r="A204" s="1" t="n">
        <v>45993.40277777778</v>
      </c>
      <c r="B204" t="n">
        <v>2.29</v>
      </c>
      <c r="C204" t="n">
        <v>63.68229603556728</v>
      </c>
    </row>
    <row r="205">
      <c r="A205" s="1" t="n">
        <v>45993.40972222222</v>
      </c>
      <c r="B205" t="n">
        <v>2.62</v>
      </c>
      <c r="C205" t="n">
        <v>57.93225125789784</v>
      </c>
    </row>
    <row r="206">
      <c r="A206" s="1" t="n">
        <v>45993.41666666666</v>
      </c>
      <c r="B206" t="n">
        <v>1.68</v>
      </c>
      <c r="C206" t="n">
        <v>52.71001013155446</v>
      </c>
      <c r="D206" t="inlineStr">
        <is>
          <t>sensor_check</t>
        </is>
      </c>
    </row>
    <row r="207">
      <c r="A207" s="1" t="n">
        <v>45993.42361111111</v>
      </c>
      <c r="B207" t="n">
        <v>2.64</v>
      </c>
      <c r="C207" t="n">
        <v>58.63172463446957</v>
      </c>
    </row>
    <row r="208">
      <c r="A208" s="1" t="n">
        <v>45993.43055555555</v>
      </c>
      <c r="B208" t="n">
        <v>2.49</v>
      </c>
      <c r="C208" t="n">
        <v>52.5306155556287</v>
      </c>
    </row>
    <row r="209">
      <c r="A209" s="1" t="n">
        <v>45993.4375</v>
      </c>
      <c r="B209" t="n">
        <v>2.53</v>
      </c>
      <c r="C209" t="n">
        <v>62.48437700372119</v>
      </c>
    </row>
    <row r="210">
      <c r="A210" s="1" t="n">
        <v>45993.44444444445</v>
      </c>
      <c r="B210" t="n">
        <v>2.87</v>
      </c>
      <c r="C210" t="n">
        <v>40.34875132627901</v>
      </c>
    </row>
    <row r="211">
      <c r="A211" s="1" t="n">
        <v>45993.45138888889</v>
      </c>
      <c r="B211" t="n">
        <v>3.31</v>
      </c>
      <c r="C211" t="n">
        <v>52.31514105505083</v>
      </c>
    </row>
    <row r="212">
      <c r="A212" s="1" t="n">
        <v>45993.45833333334</v>
      </c>
      <c r="B212" t="n">
        <v>4.04</v>
      </c>
      <c r="C212" t="n">
        <v>39.07350403900801</v>
      </c>
    </row>
    <row r="213">
      <c r="A213" s="1" t="n">
        <v>45993.46527777778</v>
      </c>
      <c r="B213" t="n">
        <v>3.38</v>
      </c>
      <c r="C213" t="n">
        <v>43.03951335818236</v>
      </c>
    </row>
    <row r="214">
      <c r="A214" s="1" t="n">
        <v>45993.47222222222</v>
      </c>
      <c r="B214" t="n">
        <v>4.17</v>
      </c>
      <c r="C214" t="n">
        <v>65.91089783851127</v>
      </c>
    </row>
    <row r="215">
      <c r="A215" s="1" t="n">
        <v>45993.47916666666</v>
      </c>
      <c r="B215" t="n">
        <v>4.22</v>
      </c>
      <c r="C215" t="n">
        <v>62.16147985577349</v>
      </c>
    </row>
    <row r="216">
      <c r="A216" s="1" t="n">
        <v>45993.48611111111</v>
      </c>
      <c r="B216" t="n">
        <v>4.54</v>
      </c>
      <c r="C216" t="n">
        <v>49.24415813372168</v>
      </c>
    </row>
    <row r="217">
      <c r="A217" s="1" t="n">
        <v>45993.49305555555</v>
      </c>
      <c r="B217" t="n">
        <v>5.34</v>
      </c>
      <c r="C217" t="n">
        <v>42.97997235167283</v>
      </c>
    </row>
    <row r="218">
      <c r="A218" s="1" t="n">
        <v>45993.5</v>
      </c>
      <c r="B218" t="n">
        <v>5.41</v>
      </c>
      <c r="C218" t="n">
        <v>31.28376929726679</v>
      </c>
    </row>
    <row r="219">
      <c r="A219" s="1" t="n">
        <v>45993.50694444445</v>
      </c>
      <c r="B219" t="n">
        <v>5.99</v>
      </c>
      <c r="C219" t="n">
        <v>50.65203593653892</v>
      </c>
    </row>
    <row r="220">
      <c r="A220" s="1" t="n">
        <v>45993.51388888889</v>
      </c>
      <c r="B220" t="n">
        <v>5.65</v>
      </c>
      <c r="C220" t="n">
        <v>74.36332009797923</v>
      </c>
    </row>
    <row r="221">
      <c r="A221" s="1" t="n">
        <v>45993.52083333334</v>
      </c>
      <c r="B221" t="n">
        <v>5.69</v>
      </c>
      <c r="C221" t="n">
        <v>58.47907417170918</v>
      </c>
    </row>
    <row r="222">
      <c r="A222" s="1" t="n">
        <v>45993.52777777778</v>
      </c>
      <c r="B222" t="n">
        <v>6.12</v>
      </c>
      <c r="C222" t="n">
        <v>50.52342171160409</v>
      </c>
    </row>
    <row r="223">
      <c r="A223" s="1" t="n">
        <v>45993.53472222222</v>
      </c>
      <c r="B223" t="n">
        <v>6.54</v>
      </c>
      <c r="C223" t="n">
        <v>58.72064167600245</v>
      </c>
      <c r="D223" t="inlineStr">
        <is>
          <t>sensor_check</t>
        </is>
      </c>
    </row>
    <row r="224">
      <c r="A224" s="1" t="n">
        <v>45993.54166666666</v>
      </c>
      <c r="B224" t="n">
        <v>6.74</v>
      </c>
      <c r="C224" t="n">
        <v>42.51233317604446</v>
      </c>
    </row>
    <row r="225">
      <c r="A225" s="1" t="n">
        <v>45993.54861111111</v>
      </c>
      <c r="B225" t="n">
        <v>6.45</v>
      </c>
      <c r="C225" t="n">
        <v>52.62141309841892</v>
      </c>
    </row>
    <row r="226">
      <c r="A226" s="1" t="n">
        <v>45993.55555555555</v>
      </c>
      <c r="B226" t="n">
        <v>7.12</v>
      </c>
      <c r="C226" t="n">
        <v>55.79581978412591</v>
      </c>
    </row>
    <row r="227">
      <c r="A227" s="1" t="n">
        <v>45993.5625</v>
      </c>
      <c r="B227" t="n">
        <v>7.35</v>
      </c>
      <c r="C227" t="n">
        <v>54.31119478543161</v>
      </c>
    </row>
    <row r="228">
      <c r="A228" s="1" t="n">
        <v>45993.56944444445</v>
      </c>
      <c r="B228" t="n">
        <v>8.43</v>
      </c>
      <c r="C228" t="n">
        <v>61.32644897352064</v>
      </c>
    </row>
    <row r="229">
      <c r="A229" s="1" t="n">
        <v>45993.57638888889</v>
      </c>
      <c r="B229" t="n">
        <v>8.32</v>
      </c>
      <c r="C229" t="n">
        <v>57.75716180988842</v>
      </c>
    </row>
    <row r="230">
      <c r="A230" s="1" t="n">
        <v>45993.58333333334</v>
      </c>
      <c r="B230" t="n">
        <v>7.35</v>
      </c>
      <c r="C230" t="n">
        <v>60.34660814486398</v>
      </c>
    </row>
    <row r="231">
      <c r="A231" s="1" t="n">
        <v>45993.59027777778</v>
      </c>
      <c r="B231" t="n">
        <v>7.69</v>
      </c>
      <c r="C231" t="n">
        <v>49.49302174215393</v>
      </c>
    </row>
    <row r="232">
      <c r="A232" s="1" t="n">
        <v>45993.59722222222</v>
      </c>
      <c r="B232" t="n">
        <v>7.3</v>
      </c>
      <c r="C232" t="n">
        <v>62.18252326728438</v>
      </c>
    </row>
    <row r="233">
      <c r="A233" s="1" t="n">
        <v>45993.60416666666</v>
      </c>
      <c r="B233" t="n">
        <v>7.71</v>
      </c>
      <c r="C233" t="n">
        <v>68.03149558099193</v>
      </c>
    </row>
    <row r="234">
      <c r="A234" s="1" t="n">
        <v>45993.61111111111</v>
      </c>
      <c r="B234" t="n">
        <v>8.109999999999999</v>
      </c>
      <c r="C234" t="n">
        <v>47.2388038427887</v>
      </c>
    </row>
    <row r="235">
      <c r="A235" s="1" t="n">
        <v>45993.61805555555</v>
      </c>
      <c r="B235" t="n">
        <v>8.48</v>
      </c>
      <c r="C235" t="n">
        <v>47.89843475428352</v>
      </c>
    </row>
    <row r="236">
      <c r="A236" s="1" t="n">
        <v>45993.625</v>
      </c>
      <c r="B236" t="n">
        <v>7.7</v>
      </c>
      <c r="C236" t="n">
        <v>65.68627469056186</v>
      </c>
    </row>
    <row r="237">
      <c r="A237" s="1" t="n">
        <v>45993.63194444445</v>
      </c>
      <c r="B237" t="n">
        <v>7.7</v>
      </c>
      <c r="C237" t="n">
        <v>53.46924810643952</v>
      </c>
    </row>
    <row r="238">
      <c r="A238" s="1" t="n">
        <v>45993.63888888889</v>
      </c>
      <c r="B238" t="n">
        <v>7.05</v>
      </c>
      <c r="C238" t="n">
        <v>66.23057113653246</v>
      </c>
    </row>
    <row r="239">
      <c r="A239" s="1" t="n">
        <v>45993.64583333334</v>
      </c>
      <c r="B239" t="n">
        <v>7.77</v>
      </c>
      <c r="C239" t="n">
        <v>51.45971430486253</v>
      </c>
    </row>
    <row r="240">
      <c r="A240" s="1" t="n">
        <v>45993.65277777778</v>
      </c>
      <c r="B240" t="n">
        <v>7.31</v>
      </c>
      <c r="C240" t="n">
        <v>66.64036461016569</v>
      </c>
      <c r="D240" t="inlineStr">
        <is>
          <t>sensor_check</t>
        </is>
      </c>
    </row>
    <row r="241">
      <c r="A241" s="1" t="n">
        <v>45993.65972222222</v>
      </c>
      <c r="B241" t="n">
        <v>7.41</v>
      </c>
      <c r="C241" t="n">
        <v>56.05188653444362</v>
      </c>
    </row>
    <row r="242">
      <c r="A242" s="1" t="n">
        <v>45993.66666666666</v>
      </c>
      <c r="B242" t="n">
        <v>7.13</v>
      </c>
      <c r="C242" t="n">
        <v>57.06583058658156</v>
      </c>
    </row>
    <row r="243">
      <c r="A243" s="1" t="n">
        <v>45993.67361111111</v>
      </c>
      <c r="B243" t="n">
        <v>7.29</v>
      </c>
      <c r="C243" t="n">
        <v>67.51774417335923</v>
      </c>
    </row>
    <row r="244">
      <c r="A244" s="1" t="n">
        <v>45993.68055555555</v>
      </c>
      <c r="B244" t="n">
        <v>6.45</v>
      </c>
      <c r="C244" t="n">
        <v>52.10583618044663</v>
      </c>
    </row>
    <row r="245">
      <c r="A245" s="1" t="n">
        <v>45993.6875</v>
      </c>
      <c r="B245" t="n">
        <v>6.37</v>
      </c>
      <c r="C245" t="n">
        <v>47.47102323260033</v>
      </c>
    </row>
    <row r="246">
      <c r="A246" s="1" t="n">
        <v>45993.69444444445</v>
      </c>
      <c r="B246" t="n">
        <v>7.6</v>
      </c>
      <c r="C246" t="n">
        <v>51.41148633577316</v>
      </c>
    </row>
    <row r="247">
      <c r="A247" s="1" t="n">
        <v>45993.70138888889</v>
      </c>
      <c r="B247" t="n">
        <v>6.02</v>
      </c>
      <c r="C247" t="n">
        <v>58.61867160514511</v>
      </c>
    </row>
    <row r="248">
      <c r="A248" s="1" t="n">
        <v>45993.70833333334</v>
      </c>
      <c r="B248" t="n">
        <v>5.86</v>
      </c>
      <c r="C248" t="n">
        <v>42.47392742255589</v>
      </c>
    </row>
    <row r="249">
      <c r="A249" s="1" t="n">
        <v>45993.71527777778</v>
      </c>
      <c r="B249" t="n">
        <v>6.8</v>
      </c>
      <c r="C249" t="n">
        <v>60.09976722120897</v>
      </c>
    </row>
    <row r="250">
      <c r="A250" s="1" t="n">
        <v>45993.72222222222</v>
      </c>
      <c r="B250" t="n">
        <v>6.97</v>
      </c>
      <c r="C250" t="n">
        <v>50.68982945905805</v>
      </c>
    </row>
    <row r="251">
      <c r="A251" s="1" t="n">
        <v>45993.72916666666</v>
      </c>
      <c r="B251" t="n">
        <v>5.09</v>
      </c>
      <c r="C251" t="n">
        <v>64.18250128586851</v>
      </c>
    </row>
    <row r="252">
      <c r="A252" s="1" t="n">
        <v>45993.73611111111</v>
      </c>
      <c r="B252" t="n">
        <v>5.15</v>
      </c>
      <c r="C252" t="n">
        <v>35.84591756079622</v>
      </c>
    </row>
    <row r="253">
      <c r="A253" s="1" t="n">
        <v>45993.74305555555</v>
      </c>
      <c r="B253" t="n">
        <v>5.17</v>
      </c>
      <c r="C253" t="n">
        <v>48.70747379916665</v>
      </c>
    </row>
    <row r="254">
      <c r="A254" s="1" t="n">
        <v>45993.75</v>
      </c>
      <c r="B254" t="n">
        <v>5.46</v>
      </c>
      <c r="C254" t="n">
        <v>41.50825479012718</v>
      </c>
    </row>
    <row r="255">
      <c r="A255" s="1" t="n">
        <v>45993.75694444445</v>
      </c>
      <c r="B255" t="n">
        <v>4.11</v>
      </c>
      <c r="C255" t="n">
        <v>48.39016426908838</v>
      </c>
    </row>
    <row r="256">
      <c r="A256" s="1" t="n">
        <v>45993.76388888889</v>
      </c>
      <c r="B256" t="n">
        <v>4.15</v>
      </c>
      <c r="C256" t="n">
        <v>56.98132720887155</v>
      </c>
    </row>
    <row r="257">
      <c r="A257" s="1" t="n">
        <v>45993.77083333334</v>
      </c>
      <c r="B257" t="n">
        <v>4.31</v>
      </c>
      <c r="C257" t="n">
        <v>53.56618699640196</v>
      </c>
      <c r="D257" t="inlineStr">
        <is>
          <t>sensor_check</t>
        </is>
      </c>
    </row>
    <row r="258">
      <c r="A258" s="1" t="n">
        <v>45993.77777777778</v>
      </c>
      <c r="B258" t="n">
        <v>3.93</v>
      </c>
      <c r="C258" t="n">
        <v>52.97297944841588</v>
      </c>
    </row>
    <row r="259">
      <c r="A259" s="1" t="n">
        <v>45993.78472222222</v>
      </c>
      <c r="B259" t="n">
        <v>3.37</v>
      </c>
      <c r="C259" t="n">
        <v>53.72652102895951</v>
      </c>
    </row>
    <row r="260">
      <c r="A260" s="1" t="n">
        <v>45993.79166666666</v>
      </c>
      <c r="B260" t="n">
        <v>3.25</v>
      </c>
      <c r="C260" t="n">
        <v>56.62710592495955</v>
      </c>
    </row>
    <row r="261">
      <c r="A261" s="1" t="n">
        <v>45993.79861111111</v>
      </c>
      <c r="B261" t="n">
        <v>2.54</v>
      </c>
      <c r="C261" t="n">
        <v>46.93171166445514</v>
      </c>
    </row>
    <row r="262">
      <c r="A262" s="1" t="n">
        <v>45993.80555555555</v>
      </c>
      <c r="B262" t="n">
        <v>2.8</v>
      </c>
      <c r="C262" t="n">
        <v>60.65479712719241</v>
      </c>
    </row>
    <row r="263">
      <c r="A263" s="1" t="n">
        <v>45993.8125</v>
      </c>
      <c r="B263" t="n">
        <v>2.61</v>
      </c>
      <c r="C263" t="n">
        <v>60.30132776308387</v>
      </c>
    </row>
    <row r="264">
      <c r="A264" s="1" t="n">
        <v>45993.81944444445</v>
      </c>
      <c r="B264" t="n">
        <v>2.65</v>
      </c>
      <c r="C264" t="n">
        <v>58.08030350124881</v>
      </c>
    </row>
    <row r="265">
      <c r="A265" s="1" t="n">
        <v>45993.82638888889</v>
      </c>
      <c r="B265" t="n">
        <v>2.19</v>
      </c>
      <c r="C265" t="n">
        <v>59.45226754201011</v>
      </c>
    </row>
    <row r="266">
      <c r="A266" s="1" t="n">
        <v>45993.83333333334</v>
      </c>
      <c r="B266" t="n">
        <v>2.48</v>
      </c>
      <c r="C266" t="n">
        <v>57.37134400646928</v>
      </c>
    </row>
    <row r="267">
      <c r="A267" s="1" t="n">
        <v>45993.84027777778</v>
      </c>
      <c r="B267" t="n">
        <v>2.59</v>
      </c>
      <c r="C267" t="n">
        <v>71.28058642184854</v>
      </c>
    </row>
    <row r="268">
      <c r="A268" s="1" t="n">
        <v>45993.84722222222</v>
      </c>
      <c r="B268" t="n">
        <v>2.17</v>
      </c>
      <c r="C268" t="n">
        <v>54.30324663157992</v>
      </c>
    </row>
    <row r="269">
      <c r="A269" s="1" t="n">
        <v>45993.85416666666</v>
      </c>
      <c r="B269" t="n">
        <v>2.19</v>
      </c>
      <c r="C269" t="n">
        <v>52.54333425332339</v>
      </c>
    </row>
    <row r="270">
      <c r="A270" s="1" t="n">
        <v>45993.86111111111</v>
      </c>
      <c r="B270" t="n">
        <v>2.03</v>
      </c>
      <c r="C270" t="n">
        <v>48.97177935714097</v>
      </c>
    </row>
    <row r="271">
      <c r="A271" s="1" t="n">
        <v>45993.86805555555</v>
      </c>
      <c r="B271" t="n">
        <v>2</v>
      </c>
      <c r="C271" t="n">
        <v>46.7418986353773</v>
      </c>
    </row>
    <row r="272">
      <c r="A272" s="1" t="n">
        <v>45993.875</v>
      </c>
      <c r="B272" t="n">
        <v>1.72</v>
      </c>
      <c r="C272" t="n">
        <v>45.0442256991914</v>
      </c>
    </row>
    <row r="273">
      <c r="A273" s="1" t="n">
        <v>45993.88194444445</v>
      </c>
      <c r="B273" t="n">
        <v>2.17</v>
      </c>
      <c r="C273" t="n">
        <v>47.88962149415265</v>
      </c>
    </row>
    <row r="274">
      <c r="A274" s="1" t="n">
        <v>45993.88888888889</v>
      </c>
      <c r="B274" t="n">
        <v>2.06</v>
      </c>
      <c r="C274" t="n">
        <v>54.43455694678343</v>
      </c>
      <c r="D274" t="inlineStr">
        <is>
          <t>sensor_check</t>
        </is>
      </c>
    </row>
    <row r="275">
      <c r="A275" s="1" t="n">
        <v>45993.89583333334</v>
      </c>
      <c r="B275" t="n">
        <v>3.01</v>
      </c>
      <c r="C275" t="n">
        <v>57.67436102798172</v>
      </c>
    </row>
    <row r="276">
      <c r="A276" s="1" t="n">
        <v>45993.90277777778</v>
      </c>
      <c r="B276" t="n">
        <v>2.91</v>
      </c>
      <c r="C276" t="n">
        <v>55.40913646841729</v>
      </c>
    </row>
    <row r="277">
      <c r="A277" s="1" t="n">
        <v>45993.90972222222</v>
      </c>
      <c r="B277" t="n">
        <v>2.55</v>
      </c>
      <c r="C277" t="n">
        <v>48.8757177805623</v>
      </c>
    </row>
    <row r="278">
      <c r="A278" s="1" t="n">
        <v>45993.91666666666</v>
      </c>
      <c r="B278" t="n">
        <v>2.23</v>
      </c>
      <c r="C278" t="n">
        <v>62.20147651215971</v>
      </c>
    </row>
    <row r="279">
      <c r="A279" s="1" t="n">
        <v>45993.92361111111</v>
      </c>
      <c r="B279" t="n">
        <v>2.25</v>
      </c>
      <c r="C279" t="n">
        <v>60.91530137840758</v>
      </c>
    </row>
    <row r="280">
      <c r="A280" s="1" t="n">
        <v>45993.93055555555</v>
      </c>
      <c r="B280" t="n">
        <v>3.35</v>
      </c>
      <c r="C280" t="n">
        <v>53.72281354062386</v>
      </c>
    </row>
    <row r="281">
      <c r="A281" s="1" t="n">
        <v>45993.9375</v>
      </c>
      <c r="B281" t="n">
        <v>3.17</v>
      </c>
      <c r="C281" t="n">
        <v>49.77667084268231</v>
      </c>
    </row>
    <row r="282">
      <c r="A282" s="1" t="n">
        <v>45993.94444444445</v>
      </c>
      <c r="B282" t="n">
        <v>3.47</v>
      </c>
      <c r="C282" t="n">
        <v>59.38742336663839</v>
      </c>
    </row>
    <row r="283">
      <c r="A283" s="1" t="n">
        <v>45993.95138888889</v>
      </c>
      <c r="B283" t="n">
        <v>2.8</v>
      </c>
      <c r="C283" t="n">
        <v>56.50378869988884</v>
      </c>
    </row>
    <row r="284">
      <c r="A284" s="1" t="n">
        <v>45993.95833333334</v>
      </c>
      <c r="B284" t="n">
        <v>4.1</v>
      </c>
      <c r="C284" t="n">
        <v>43.41498192467962</v>
      </c>
    </row>
    <row r="285">
      <c r="A285" s="1" t="n">
        <v>45993.96527777778</v>
      </c>
      <c r="B285" t="n">
        <v>4.15</v>
      </c>
      <c r="C285" t="n">
        <v>54.45615795212476</v>
      </c>
    </row>
    <row r="286">
      <c r="A286" s="1" t="n">
        <v>45993.97222222222</v>
      </c>
      <c r="B286" t="n">
        <v>3.78</v>
      </c>
      <c r="C286" t="n">
        <v>57.09628649659505</v>
      </c>
    </row>
    <row r="287">
      <c r="A287" s="1" t="n">
        <v>45993.97916666666</v>
      </c>
      <c r="B287" t="n">
        <v>4.29</v>
      </c>
      <c r="C287" t="n">
        <v>47.80244170809797</v>
      </c>
    </row>
    <row r="288">
      <c r="A288" s="1" t="n">
        <v>45993.98611111111</v>
      </c>
      <c r="B288" t="n">
        <v>4.84</v>
      </c>
      <c r="C288" t="n">
        <v>56.51874714269955</v>
      </c>
    </row>
    <row r="289">
      <c r="A289" s="1" t="n">
        <v>45993.99305555555</v>
      </c>
      <c r="B289" t="n">
        <v>5.02</v>
      </c>
      <c r="C289" t="n">
        <v>43.36142011793768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Timestamp</t>
        </is>
      </c>
      <c r="B1" t="inlineStr">
        <is>
          <t>Temperature (°C)</t>
        </is>
      </c>
      <c r="C1" t="inlineStr">
        <is>
          <t>Humidity (%)</t>
        </is>
      </c>
      <c r="D1" t="inlineStr">
        <is>
          <t>Note</t>
        </is>
      </c>
    </row>
    <row r="2">
      <c r="A2" s="1" t="n">
        <v>45992</v>
      </c>
      <c r="B2" t="n">
        <v>25.8</v>
      </c>
      <c r="C2" t="n">
        <v>54.23056850461334</v>
      </c>
      <c r="D2" t="inlineStr">
        <is>
          <t>sensor_check</t>
        </is>
      </c>
    </row>
    <row r="3">
      <c r="A3" s="1" t="n">
        <v>45992.00694444445</v>
      </c>
      <c r="B3" t="n">
        <v>25.75</v>
      </c>
      <c r="C3" t="n">
        <v>64.02415085879443</v>
      </c>
    </row>
    <row r="4">
      <c r="A4" s="1" t="n">
        <v>45992.01388888889</v>
      </c>
      <c r="B4" t="n">
        <v>24.85</v>
      </c>
      <c r="C4" t="n">
        <v>36.75409723702462</v>
      </c>
    </row>
    <row r="5">
      <c r="A5" s="1" t="n">
        <v>45992.02083333334</v>
      </c>
      <c r="B5" t="n">
        <v>25.22</v>
      </c>
      <c r="C5" t="n">
        <v>43.02689048077339</v>
      </c>
    </row>
    <row r="6">
      <c r="A6" s="1" t="n">
        <v>45992.02777777778</v>
      </c>
      <c r="B6" t="n">
        <v>23.55</v>
      </c>
      <c r="C6" t="n">
        <v>47.61690846483786</v>
      </c>
    </row>
    <row r="7">
      <c r="A7" s="1" t="n">
        <v>45992.03472222222</v>
      </c>
      <c r="B7" t="n">
        <v>24.31</v>
      </c>
      <c r="C7" t="n">
        <v>66.68943093376264</v>
      </c>
    </row>
    <row r="8">
      <c r="A8" s="1" t="n">
        <v>45992.04166666666</v>
      </c>
      <c r="B8" t="n">
        <v>24.82</v>
      </c>
      <c r="C8" t="n">
        <v>57.26069586335437</v>
      </c>
    </row>
    <row r="9">
      <c r="A9" s="1" t="n">
        <v>45992.04861111111</v>
      </c>
      <c r="B9" t="n">
        <v>24.36</v>
      </c>
      <c r="C9" t="n">
        <v>61.13853792368982</v>
      </c>
    </row>
    <row r="10">
      <c r="A10" s="1" t="n">
        <v>45992.05555555555</v>
      </c>
      <c r="B10" t="n">
        <v>25.43</v>
      </c>
      <c r="C10" t="n">
        <v>45.87871264699015</v>
      </c>
    </row>
    <row r="11">
      <c r="A11" s="1" t="n">
        <v>45992.0625</v>
      </c>
      <c r="B11" t="n">
        <v>26.2</v>
      </c>
      <c r="C11" t="n">
        <v>46.04371299783579</v>
      </c>
    </row>
    <row r="12">
      <c r="A12" s="1" t="n">
        <v>45992.06944444445</v>
      </c>
      <c r="C12" t="n">
        <v>58.58250973378168</v>
      </c>
    </row>
    <row r="13">
      <c r="A13" s="1" t="n">
        <v>45992.07638888889</v>
      </c>
      <c r="C13" t="n">
        <v>55.46619464748358</v>
      </c>
    </row>
    <row r="14">
      <c r="A14" s="1" t="n">
        <v>45992.08333333334</v>
      </c>
      <c r="B14" t="n">
        <v>25.14</v>
      </c>
      <c r="C14" t="n">
        <v>59.38991055091302</v>
      </c>
    </row>
    <row r="15">
      <c r="A15" s="1" t="n">
        <v>45992.09027777778</v>
      </c>
      <c r="B15" t="n">
        <v>25.97</v>
      </c>
      <c r="C15" t="n">
        <v>53.49863207257238</v>
      </c>
    </row>
    <row r="16">
      <c r="A16" s="1" t="n">
        <v>45992.09722222222</v>
      </c>
      <c r="B16" t="n">
        <v>24.27</v>
      </c>
      <c r="C16" t="n">
        <v>57.22514981163702</v>
      </c>
    </row>
    <row r="17">
      <c r="A17" s="1" t="n">
        <v>45992.10416666666</v>
      </c>
      <c r="B17" t="n">
        <v>25.15</v>
      </c>
      <c r="C17" t="n">
        <v>56.26495267924087</v>
      </c>
    </row>
    <row r="18">
      <c r="A18" s="1" t="n">
        <v>45992.11111111111</v>
      </c>
      <c r="B18" t="n">
        <v>26.09</v>
      </c>
      <c r="C18" t="n">
        <v>61.2221391126794</v>
      </c>
    </row>
    <row r="19">
      <c r="A19" s="1" t="n">
        <v>45992.11805555555</v>
      </c>
      <c r="B19" t="n">
        <v>24.01</v>
      </c>
      <c r="C19" t="n">
        <v>61.45606625555577</v>
      </c>
      <c r="D19" t="inlineStr">
        <is>
          <t>sensor_check</t>
        </is>
      </c>
    </row>
    <row r="20">
      <c r="A20" s="1" t="n">
        <v>45992.125</v>
      </c>
      <c r="B20" t="n">
        <v>24.23</v>
      </c>
      <c r="C20" t="n">
        <v>42.04102404486584</v>
      </c>
    </row>
    <row r="21">
      <c r="A21" s="1" t="n">
        <v>45992.13194444445</v>
      </c>
      <c r="B21" t="n">
        <v>24.75</v>
      </c>
      <c r="C21" t="n">
        <v>37.02185155727315</v>
      </c>
    </row>
    <row r="22">
      <c r="A22" s="1" t="n">
        <v>45992.13888888889</v>
      </c>
      <c r="B22" t="n">
        <v>24.69</v>
      </c>
      <c r="C22" t="n">
        <v>63.01396318121206</v>
      </c>
    </row>
    <row r="23">
      <c r="A23" s="1" t="n">
        <v>45992.14583333334</v>
      </c>
      <c r="B23" t="n">
        <v>25.49</v>
      </c>
      <c r="C23" t="n">
        <v>64.5018007460955</v>
      </c>
    </row>
    <row r="24">
      <c r="A24" s="1" t="n">
        <v>45992.15277777778</v>
      </c>
      <c r="B24" t="n">
        <v>25.14</v>
      </c>
      <c r="C24" t="n">
        <v>46.8350158438933</v>
      </c>
    </row>
    <row r="25">
      <c r="A25" s="1" t="n">
        <v>45992.15972222222</v>
      </c>
      <c r="B25" t="n">
        <v>23.94</v>
      </c>
      <c r="C25" t="n">
        <v>40.12131674763497</v>
      </c>
    </row>
    <row r="26">
      <c r="A26" s="1" t="n">
        <v>45992.16666666666</v>
      </c>
      <c r="B26" t="n">
        <v>25.31</v>
      </c>
      <c r="C26" t="n">
        <v>55.7922785680576</v>
      </c>
    </row>
    <row r="27">
      <c r="A27" s="1" t="n">
        <v>45992.17361111111</v>
      </c>
      <c r="B27" t="n">
        <v>24.65</v>
      </c>
      <c r="C27" t="n">
        <v>62.44670581080423</v>
      </c>
    </row>
    <row r="28">
      <c r="A28" s="1" t="n">
        <v>45992.18055555555</v>
      </c>
      <c r="B28" t="n">
        <v>25.76</v>
      </c>
      <c r="C28" t="n">
        <v>69.38075617947452</v>
      </c>
    </row>
    <row r="29">
      <c r="A29" s="1" t="n">
        <v>45992.1875</v>
      </c>
      <c r="B29" t="n">
        <v>24.62</v>
      </c>
      <c r="C29" t="n">
        <v>59.13038057681161</v>
      </c>
    </row>
    <row r="30">
      <c r="A30" s="1" t="n">
        <v>45992.19444444445</v>
      </c>
      <c r="B30" t="n">
        <v>24.62</v>
      </c>
      <c r="C30" t="n">
        <v>52.02626642731444</v>
      </c>
    </row>
    <row r="31">
      <c r="A31" s="1" t="n">
        <v>45992.20138888889</v>
      </c>
      <c r="B31" t="n">
        <v>25.32</v>
      </c>
      <c r="C31" t="n">
        <v>47.8549550273211</v>
      </c>
    </row>
    <row r="32">
      <c r="A32" s="1" t="n">
        <v>45992.20833333334</v>
      </c>
      <c r="B32" t="n">
        <v>25.46</v>
      </c>
      <c r="C32" t="n">
        <v>55.09161033336524</v>
      </c>
    </row>
    <row r="33">
      <c r="A33" s="1" t="n">
        <v>45992.21527777778</v>
      </c>
      <c r="B33" t="n">
        <v>25.27</v>
      </c>
      <c r="C33" t="n">
        <v>52.60588236891795</v>
      </c>
    </row>
    <row r="34">
      <c r="A34" s="1" t="n">
        <v>45992.22222222222</v>
      </c>
      <c r="B34" t="n">
        <v>23.99</v>
      </c>
      <c r="C34" t="n">
        <v>46.87945675416947</v>
      </c>
    </row>
    <row r="35">
      <c r="A35" s="1" t="n">
        <v>45992.22916666666</v>
      </c>
      <c r="B35" t="n">
        <v>25.32</v>
      </c>
      <c r="C35" t="n">
        <v>71.39004520690629</v>
      </c>
    </row>
    <row r="36">
      <c r="A36" s="1" t="n">
        <v>45992.23611111111</v>
      </c>
      <c r="B36" t="n">
        <v>24.38</v>
      </c>
      <c r="C36" t="n">
        <v>69.28134721657705</v>
      </c>
      <c r="D36" t="inlineStr">
        <is>
          <t>sensor_check</t>
        </is>
      </c>
    </row>
    <row r="37">
      <c r="A37" s="1" t="n">
        <v>45992.24305555555</v>
      </c>
      <c r="B37" t="n">
        <v>25.14</v>
      </c>
      <c r="C37" t="n">
        <v>64.08838946844342</v>
      </c>
    </row>
    <row r="38">
      <c r="A38" s="1" t="n">
        <v>45992.25</v>
      </c>
      <c r="B38" t="n">
        <v>24.15</v>
      </c>
      <c r="C38" t="n">
        <v>47.63319681752698</v>
      </c>
    </row>
    <row r="39">
      <c r="A39" s="1" t="n">
        <v>45992.25694444445</v>
      </c>
      <c r="B39" t="n">
        <v>25.27</v>
      </c>
      <c r="C39" t="n">
        <v>61.84015459437823</v>
      </c>
    </row>
    <row r="40">
      <c r="A40" s="1" t="n">
        <v>45992.26388888889</v>
      </c>
      <c r="B40" t="n">
        <v>24.52</v>
      </c>
      <c r="C40" t="n">
        <v>60.11701127598322</v>
      </c>
    </row>
    <row r="41">
      <c r="A41" s="1" t="n">
        <v>45992.27083333334</v>
      </c>
      <c r="B41" t="n">
        <v>24.23</v>
      </c>
      <c r="C41" t="n">
        <v>58.54036499363242</v>
      </c>
    </row>
    <row r="42">
      <c r="A42" s="1" t="n">
        <v>45992.27777777778</v>
      </c>
      <c r="B42" t="n">
        <v>25.43</v>
      </c>
      <c r="C42" t="n">
        <v>64.99732213635022</v>
      </c>
    </row>
    <row r="43">
      <c r="A43" s="1" t="n">
        <v>45992.28472222222</v>
      </c>
      <c r="B43" t="n">
        <v>25.14</v>
      </c>
      <c r="C43" t="n">
        <v>60.08296914289022</v>
      </c>
    </row>
    <row r="44">
      <c r="A44" s="1" t="n">
        <v>45992.29166666666</v>
      </c>
      <c r="B44" t="n">
        <v>24.63</v>
      </c>
      <c r="C44" t="n">
        <v>60.92011389043468</v>
      </c>
    </row>
    <row r="45">
      <c r="A45" s="1" t="n">
        <v>45992.29861111111</v>
      </c>
      <c r="B45" t="n">
        <v>25.87</v>
      </c>
      <c r="C45" t="n">
        <v>60.09525026697768</v>
      </c>
    </row>
    <row r="46">
      <c r="A46" s="1" t="n">
        <v>45992.30555555555</v>
      </c>
      <c r="B46" t="n">
        <v>24.74</v>
      </c>
      <c r="C46" t="n">
        <v>57.72633126401685</v>
      </c>
    </row>
    <row r="47">
      <c r="A47" s="1" t="n">
        <v>45992.3125</v>
      </c>
      <c r="B47" t="n">
        <v>25.02</v>
      </c>
      <c r="C47" t="n">
        <v>40.73111096228654</v>
      </c>
    </row>
    <row r="48">
      <c r="A48" s="1" t="n">
        <v>45992.31944444445</v>
      </c>
      <c r="B48" t="n">
        <v>25.16</v>
      </c>
      <c r="C48" t="n">
        <v>55.66896861928446</v>
      </c>
    </row>
    <row r="49">
      <c r="A49" s="1" t="n">
        <v>45992.32638888889</v>
      </c>
      <c r="B49" t="n">
        <v>24.63</v>
      </c>
      <c r="C49" t="n">
        <v>50.550464329207</v>
      </c>
    </row>
    <row r="50">
      <c r="A50" s="1" t="n">
        <v>45992.33333333334</v>
      </c>
      <c r="B50" t="n">
        <v>25.28</v>
      </c>
      <c r="C50" t="n">
        <v>44.76127233887983</v>
      </c>
    </row>
    <row r="51">
      <c r="A51" s="1" t="n">
        <v>45992.34027777778</v>
      </c>
      <c r="B51" t="n">
        <v>24.68</v>
      </c>
      <c r="C51" t="n">
        <v>68.45453295440659</v>
      </c>
    </row>
    <row r="52">
      <c r="A52" s="1" t="n">
        <v>45992.34722222222</v>
      </c>
      <c r="C52" t="n">
        <v>68.83196272708562</v>
      </c>
    </row>
    <row r="53">
      <c r="A53" s="1" t="n">
        <v>45992.35416666666</v>
      </c>
      <c r="B53" t="n">
        <v>25.82</v>
      </c>
      <c r="C53" t="n">
        <v>65.87376480236489</v>
      </c>
      <c r="D53" t="inlineStr">
        <is>
          <t>sensor_check</t>
        </is>
      </c>
    </row>
    <row r="54">
      <c r="A54" s="1" t="n">
        <v>45992.36111111111</v>
      </c>
      <c r="B54" t="n">
        <v>24.38</v>
      </c>
      <c r="C54" t="n">
        <v>57.041707334847</v>
      </c>
    </row>
    <row r="55">
      <c r="A55" s="1" t="n">
        <v>45992.36805555555</v>
      </c>
      <c r="B55" t="n">
        <v>23.55</v>
      </c>
      <c r="C55" t="n">
        <v>65.80500096762125</v>
      </c>
    </row>
    <row r="56">
      <c r="A56" s="1" t="n">
        <v>45992.375</v>
      </c>
      <c r="B56" t="n">
        <v>25.97</v>
      </c>
      <c r="C56" t="n">
        <v>55.09642544481461</v>
      </c>
    </row>
    <row r="57">
      <c r="A57" s="1" t="n">
        <v>45992.38194444445</v>
      </c>
      <c r="B57" t="n">
        <v>26.53</v>
      </c>
      <c r="C57" t="n">
        <v>56.62237821518224</v>
      </c>
    </row>
    <row r="58">
      <c r="A58" s="1" t="n">
        <v>45992.38888888889</v>
      </c>
      <c r="B58" t="n">
        <v>24.76</v>
      </c>
      <c r="C58" t="n">
        <v>46.25222903630414</v>
      </c>
    </row>
    <row r="59">
      <c r="A59" s="1" t="n">
        <v>45992.39583333334</v>
      </c>
      <c r="B59" t="n">
        <v>23.84</v>
      </c>
      <c r="C59" t="n">
        <v>58.17593043599072</v>
      </c>
    </row>
    <row r="60">
      <c r="A60" s="1" t="n">
        <v>45992.40277777778</v>
      </c>
      <c r="B60" t="n">
        <v>24.81</v>
      </c>
      <c r="C60" t="n">
        <v>55.48308742739534</v>
      </c>
    </row>
    <row r="61">
      <c r="A61" s="1" t="n">
        <v>45992.40972222222</v>
      </c>
      <c r="B61" t="n">
        <v>24.83</v>
      </c>
      <c r="C61" t="n">
        <v>44.57878306532429</v>
      </c>
    </row>
    <row r="62">
      <c r="A62" s="1" t="n">
        <v>45992.41666666666</v>
      </c>
      <c r="B62" t="n">
        <v>24.89</v>
      </c>
      <c r="C62" t="n">
        <v>54.59042310546722</v>
      </c>
    </row>
    <row r="63">
      <c r="A63" s="1" t="n">
        <v>45992.42361111111</v>
      </c>
      <c r="B63" t="n">
        <v>24.33</v>
      </c>
      <c r="C63" t="n">
        <v>54.36216348914553</v>
      </c>
    </row>
    <row r="64">
      <c r="A64" s="1" t="n">
        <v>45992.43055555555</v>
      </c>
      <c r="B64" t="n">
        <v>25.35</v>
      </c>
      <c r="C64" t="n">
        <v>69.38048933315712</v>
      </c>
    </row>
    <row r="65">
      <c r="A65" s="1" t="n">
        <v>45992.4375</v>
      </c>
      <c r="B65" t="n">
        <v>25.31</v>
      </c>
      <c r="C65" t="n">
        <v>62.15370662810727</v>
      </c>
    </row>
    <row r="66">
      <c r="A66" s="1" t="n">
        <v>45992.44444444445</v>
      </c>
      <c r="B66" t="n">
        <v>24.1</v>
      </c>
      <c r="C66" t="n">
        <v>55.09156351273173</v>
      </c>
    </row>
    <row r="67">
      <c r="A67" s="1" t="n">
        <v>45992.45138888889</v>
      </c>
      <c r="B67" t="n">
        <v>25.42</v>
      </c>
      <c r="C67" t="n">
        <v>56.99029847840866</v>
      </c>
    </row>
    <row r="68">
      <c r="A68" s="1" t="n">
        <v>45992.45833333334</v>
      </c>
      <c r="B68" t="n">
        <v>26.23</v>
      </c>
      <c r="C68" t="n">
        <v>55.35369902483358</v>
      </c>
    </row>
    <row r="69">
      <c r="A69" s="1" t="n">
        <v>45992.46527777778</v>
      </c>
      <c r="B69" t="n">
        <v>25.1</v>
      </c>
      <c r="C69" t="n">
        <v>53.37668812163562</v>
      </c>
    </row>
    <row r="70">
      <c r="A70" s="1" t="n">
        <v>45992.47222222222</v>
      </c>
      <c r="B70" t="n">
        <v>24.8</v>
      </c>
      <c r="C70" t="n">
        <v>46.3405824208937</v>
      </c>
      <c r="D70" t="inlineStr">
        <is>
          <t>sensor_check</t>
        </is>
      </c>
    </row>
    <row r="71">
      <c r="A71" s="1" t="n">
        <v>45992.47916666666</v>
      </c>
      <c r="B71" t="n">
        <v>24.91</v>
      </c>
      <c r="C71" t="n">
        <v>53.79158497914457</v>
      </c>
    </row>
    <row r="72">
      <c r="A72" s="1" t="n">
        <v>45992.48611111111</v>
      </c>
      <c r="B72" t="n">
        <v>25.37</v>
      </c>
      <c r="C72" t="n">
        <v>49.03121394677989</v>
      </c>
    </row>
    <row r="73">
      <c r="A73" s="1" t="n">
        <v>45992.49305555555</v>
      </c>
      <c r="B73" t="n">
        <v>23.96</v>
      </c>
      <c r="C73" t="n">
        <v>44.99747568861483</v>
      </c>
    </row>
    <row r="74">
      <c r="A74" s="1" t="n">
        <v>45992.5</v>
      </c>
      <c r="B74" t="n">
        <v>25.1</v>
      </c>
      <c r="C74" t="n">
        <v>59.08977451638027</v>
      </c>
    </row>
    <row r="75">
      <c r="A75" s="1" t="n">
        <v>45992.50694444445</v>
      </c>
      <c r="B75" t="n">
        <v>24.77</v>
      </c>
      <c r="C75" t="n">
        <v>58.13011727946588</v>
      </c>
    </row>
    <row r="76">
      <c r="A76" s="1" t="n">
        <v>45992.51388888889</v>
      </c>
      <c r="B76" t="n">
        <v>26.11</v>
      </c>
      <c r="C76" t="n">
        <v>40.70633990905537</v>
      </c>
    </row>
    <row r="77">
      <c r="A77" s="1" t="n">
        <v>45992.52083333334</v>
      </c>
      <c r="B77" t="n">
        <v>24.9</v>
      </c>
      <c r="C77" t="n">
        <v>54.01852290003898</v>
      </c>
    </row>
    <row r="78">
      <c r="A78" s="1" t="n">
        <v>45992.52777777778</v>
      </c>
      <c r="B78" t="n">
        <v>26</v>
      </c>
      <c r="C78" t="n">
        <v>62.96561108719939</v>
      </c>
    </row>
    <row r="79">
      <c r="A79" s="1" t="n">
        <v>45992.53472222222</v>
      </c>
      <c r="B79" t="n">
        <v>24.34</v>
      </c>
      <c r="C79" t="n">
        <v>63.47378991117057</v>
      </c>
    </row>
    <row r="80">
      <c r="A80" s="1" t="n">
        <v>45992.54166666666</v>
      </c>
      <c r="B80" t="n">
        <v>25.35</v>
      </c>
      <c r="C80" t="n">
        <v>63.20669474308191</v>
      </c>
    </row>
    <row r="81">
      <c r="A81" s="1" t="n">
        <v>45992.54861111111</v>
      </c>
      <c r="B81" t="n">
        <v>25.19</v>
      </c>
      <c r="C81" t="n">
        <v>55.31130565521168</v>
      </c>
    </row>
    <row r="82">
      <c r="A82" s="1" t="n">
        <v>45992.55555555555</v>
      </c>
      <c r="B82" t="n">
        <v>24.48</v>
      </c>
      <c r="C82" t="n">
        <v>48.23963737624679</v>
      </c>
    </row>
    <row r="83">
      <c r="A83" s="1" t="n">
        <v>45992.5625</v>
      </c>
      <c r="B83" t="n">
        <v>25.11</v>
      </c>
      <c r="C83" t="n">
        <v>46.33040938113552</v>
      </c>
    </row>
    <row r="84">
      <c r="A84" s="1" t="n">
        <v>45992.56944444445</v>
      </c>
      <c r="B84" t="n">
        <v>25.73</v>
      </c>
      <c r="C84" t="n">
        <v>57.75683923800286</v>
      </c>
    </row>
    <row r="85">
      <c r="A85" s="1" t="n">
        <v>45992.57638888889</v>
      </c>
      <c r="B85" t="n">
        <v>24.81</v>
      </c>
      <c r="C85" t="n">
        <v>58.0342402749213</v>
      </c>
    </row>
    <row r="86">
      <c r="A86" s="1" t="n">
        <v>45992.58333333334</v>
      </c>
      <c r="B86" t="n">
        <v>23.98</v>
      </c>
      <c r="C86" t="n">
        <v>65.29864889284052</v>
      </c>
    </row>
    <row r="87">
      <c r="A87" s="1" t="n">
        <v>45992.59027777778</v>
      </c>
      <c r="B87" t="n">
        <v>24.99</v>
      </c>
      <c r="C87" t="n">
        <v>63.79983720273667</v>
      </c>
      <c r="D87" t="inlineStr">
        <is>
          <t>sensor_check</t>
        </is>
      </c>
    </row>
    <row r="88">
      <c r="A88" s="1" t="n">
        <v>45992.59722222222</v>
      </c>
      <c r="B88" t="n">
        <v>24.46</v>
      </c>
      <c r="C88" t="n">
        <v>53.94217074775062</v>
      </c>
    </row>
    <row r="89">
      <c r="A89" s="1" t="n">
        <v>45992.60416666666</v>
      </c>
      <c r="B89" t="n">
        <v>24.79</v>
      </c>
      <c r="C89" t="n">
        <v>45.04635296911304</v>
      </c>
    </row>
    <row r="90">
      <c r="A90" s="1" t="n">
        <v>45992.61111111111</v>
      </c>
      <c r="B90" t="n">
        <v>24.95</v>
      </c>
      <c r="C90" t="n">
        <v>52.44714722391281</v>
      </c>
    </row>
    <row r="91">
      <c r="A91" s="1" t="n">
        <v>45992.61805555555</v>
      </c>
      <c r="B91" t="n">
        <v>23.98</v>
      </c>
      <c r="C91" t="n">
        <v>56.7378495584842</v>
      </c>
    </row>
    <row r="92">
      <c r="A92" s="1" t="n">
        <v>45992.625</v>
      </c>
      <c r="C92" t="n">
        <v>53.38333403688477</v>
      </c>
    </row>
    <row r="93">
      <c r="A93" s="1" t="n">
        <v>45992.63194444445</v>
      </c>
      <c r="B93" t="n">
        <v>25.29</v>
      </c>
      <c r="C93" t="n">
        <v>50.37684713537875</v>
      </c>
    </row>
    <row r="94">
      <c r="A94" s="1" t="n">
        <v>45992.63888888889</v>
      </c>
      <c r="B94" t="n">
        <v>24.69</v>
      </c>
      <c r="C94" t="n">
        <v>57.02307851975919</v>
      </c>
    </row>
    <row r="95">
      <c r="A95" s="1" t="n">
        <v>45992.64583333334</v>
      </c>
      <c r="B95" t="n">
        <v>23.46</v>
      </c>
      <c r="C95" t="n">
        <v>50.96833806871511</v>
      </c>
    </row>
    <row r="96">
      <c r="A96" s="1" t="n">
        <v>45992.65277777778</v>
      </c>
      <c r="B96" t="n">
        <v>25.47</v>
      </c>
      <c r="C96" t="n">
        <v>49.97547133019701</v>
      </c>
    </row>
    <row r="97">
      <c r="A97" s="1" t="n">
        <v>45992.65972222222</v>
      </c>
      <c r="B97" t="n">
        <v>25.16</v>
      </c>
      <c r="C97" t="n">
        <v>57.49162267442752</v>
      </c>
    </row>
    <row r="98">
      <c r="A98" s="1" t="n">
        <v>45992.66666666666</v>
      </c>
      <c r="B98" t="n">
        <v>24.57</v>
      </c>
      <c r="C98" t="n">
        <v>51.78405935896636</v>
      </c>
    </row>
    <row r="99">
      <c r="A99" s="1" t="n">
        <v>45992.67361111111</v>
      </c>
      <c r="B99" t="n">
        <v>24.21</v>
      </c>
      <c r="C99" t="n">
        <v>56.95283511182681</v>
      </c>
    </row>
    <row r="100">
      <c r="A100" s="1" t="n">
        <v>45992.68055555555</v>
      </c>
      <c r="B100" t="n">
        <v>25.5</v>
      </c>
      <c r="C100" t="n">
        <v>57.18563218281698</v>
      </c>
    </row>
    <row r="101">
      <c r="A101" s="1" t="n">
        <v>45992.6875</v>
      </c>
      <c r="B101" t="n">
        <v>25.21</v>
      </c>
      <c r="C101" t="n">
        <v>45.8845679912674</v>
      </c>
    </row>
    <row r="102">
      <c r="A102" s="1" t="n">
        <v>45992.69444444445</v>
      </c>
      <c r="B102" t="n">
        <v>26.43</v>
      </c>
      <c r="C102" t="n">
        <v>51.1500710090767</v>
      </c>
    </row>
    <row r="103">
      <c r="A103" s="1" t="n">
        <v>45992.70138888889</v>
      </c>
      <c r="B103" t="n">
        <v>25.25</v>
      </c>
      <c r="C103" t="n">
        <v>66.5022155193317</v>
      </c>
    </row>
    <row r="104">
      <c r="A104" s="1" t="n">
        <v>45992.70833333334</v>
      </c>
      <c r="B104" t="n">
        <v>25.23</v>
      </c>
      <c r="C104" t="n">
        <v>45.7033638981257</v>
      </c>
      <c r="D104" t="inlineStr">
        <is>
          <t>sensor_check</t>
        </is>
      </c>
    </row>
    <row r="105">
      <c r="A105" s="1" t="n">
        <v>45992.71527777778</v>
      </c>
      <c r="B105" t="n">
        <v>24.9</v>
      </c>
      <c r="C105" t="n">
        <v>38.06676440823576</v>
      </c>
    </row>
    <row r="106">
      <c r="A106" s="1" t="n">
        <v>45992.72222222222</v>
      </c>
      <c r="B106" t="n">
        <v>25.49</v>
      </c>
      <c r="C106" t="n">
        <v>40.10523877405991</v>
      </c>
    </row>
    <row r="107">
      <c r="A107" s="1" t="n">
        <v>45992.72916666666</v>
      </c>
      <c r="B107" t="n">
        <v>25.38</v>
      </c>
      <c r="C107" t="n">
        <v>55.23287957261336</v>
      </c>
    </row>
    <row r="108">
      <c r="A108" s="1" t="n">
        <v>45992.73611111111</v>
      </c>
      <c r="B108" t="n">
        <v>25.75</v>
      </c>
      <c r="C108" t="n">
        <v>55.24733822426159</v>
      </c>
    </row>
    <row r="109">
      <c r="A109" s="1" t="n">
        <v>45992.74305555555</v>
      </c>
      <c r="B109" t="n">
        <v>24.69</v>
      </c>
      <c r="C109" t="n">
        <v>54.05911315659903</v>
      </c>
    </row>
    <row r="110">
      <c r="A110" s="1" t="n">
        <v>45992.75</v>
      </c>
      <c r="B110" t="n">
        <v>24.74</v>
      </c>
      <c r="C110" t="n">
        <v>64.71351863142802</v>
      </c>
    </row>
    <row r="111">
      <c r="A111" s="1" t="n">
        <v>45992.75694444445</v>
      </c>
      <c r="B111" t="n">
        <v>24.71</v>
      </c>
      <c r="C111" t="n">
        <v>33.61732453517649</v>
      </c>
    </row>
    <row r="112">
      <c r="A112" s="1" t="n">
        <v>45992.76388888889</v>
      </c>
      <c r="B112" t="n">
        <v>25.47</v>
      </c>
      <c r="C112" t="n">
        <v>58.16747099544659</v>
      </c>
    </row>
    <row r="113">
      <c r="A113" s="1" t="n">
        <v>45992.77083333334</v>
      </c>
      <c r="B113" t="n">
        <v>25.9</v>
      </c>
      <c r="C113" t="n">
        <v>67.49150561442859</v>
      </c>
    </row>
    <row r="114">
      <c r="A114" s="1" t="n">
        <v>45992.77777777778</v>
      </c>
      <c r="B114" t="n">
        <v>24.72</v>
      </c>
      <c r="C114" t="n">
        <v>45.97775388086629</v>
      </c>
    </row>
    <row r="115">
      <c r="A115" s="1" t="n">
        <v>45992.78472222222</v>
      </c>
      <c r="B115" t="n">
        <v>24.75</v>
      </c>
      <c r="C115" t="n">
        <v>51.96154790568084</v>
      </c>
    </row>
    <row r="116">
      <c r="A116" s="1" t="n">
        <v>45992.79166666666</v>
      </c>
      <c r="B116" t="n">
        <v>25.19</v>
      </c>
      <c r="C116" t="n">
        <v>48.97686466217103</v>
      </c>
    </row>
    <row r="117">
      <c r="A117" s="1" t="n">
        <v>45992.79861111111</v>
      </c>
      <c r="B117" t="n">
        <v>24.85</v>
      </c>
      <c r="C117" t="n">
        <v>47.84523163137977</v>
      </c>
    </row>
    <row r="118">
      <c r="A118" s="1" t="n">
        <v>45992.80555555555</v>
      </c>
      <c r="B118" t="n">
        <v>25.57</v>
      </c>
      <c r="C118" t="n">
        <v>52.38990395981568</v>
      </c>
    </row>
    <row r="119">
      <c r="A119" s="1" t="n">
        <v>45992.8125</v>
      </c>
      <c r="B119" t="n">
        <v>23.65</v>
      </c>
      <c r="C119" t="n">
        <v>66.41988226947603</v>
      </c>
    </row>
    <row r="120">
      <c r="A120" s="1" t="n">
        <v>45992.81944444445</v>
      </c>
      <c r="B120" t="n">
        <v>24.5</v>
      </c>
      <c r="C120" t="n">
        <v>69.69909340390016</v>
      </c>
    </row>
    <row r="121">
      <c r="A121" s="1" t="n">
        <v>45992.82638888889</v>
      </c>
      <c r="B121" t="n">
        <v>24.53</v>
      </c>
      <c r="C121" t="n">
        <v>52.31248619967882</v>
      </c>
      <c r="D121" t="inlineStr">
        <is>
          <t>sensor_check</t>
        </is>
      </c>
    </row>
    <row r="122">
      <c r="A122" s="1" t="n">
        <v>45992.83333333334</v>
      </c>
      <c r="B122" t="n">
        <v>23.61</v>
      </c>
      <c r="C122" t="n">
        <v>70.24048171251576</v>
      </c>
    </row>
    <row r="123">
      <c r="A123" s="1" t="n">
        <v>45992.84027777778</v>
      </c>
      <c r="B123" t="n">
        <v>24.42</v>
      </c>
      <c r="C123" t="n">
        <v>55.284611815877</v>
      </c>
    </row>
    <row r="124">
      <c r="A124" s="1" t="n">
        <v>45992.84722222222</v>
      </c>
      <c r="B124" t="n">
        <v>24.45</v>
      </c>
      <c r="C124" t="n">
        <v>69.02952821360864</v>
      </c>
    </row>
    <row r="125">
      <c r="A125" s="1" t="n">
        <v>45992.85416666666</v>
      </c>
      <c r="B125" t="n">
        <v>24.88</v>
      </c>
      <c r="C125" t="n">
        <v>54.25361080277207</v>
      </c>
    </row>
    <row r="126">
      <c r="A126" s="1" t="n">
        <v>45992.86111111111</v>
      </c>
      <c r="B126" t="n">
        <v>25.67</v>
      </c>
      <c r="C126" t="n">
        <v>56.04846260836916</v>
      </c>
    </row>
    <row r="127">
      <c r="A127" s="1" t="n">
        <v>45992.86805555555</v>
      </c>
      <c r="B127" t="n">
        <v>24.85</v>
      </c>
      <c r="C127" t="n">
        <v>57.92379578114268</v>
      </c>
    </row>
    <row r="128">
      <c r="A128" s="1" t="n">
        <v>45992.875</v>
      </c>
      <c r="B128" t="n">
        <v>24.38</v>
      </c>
      <c r="C128" t="n">
        <v>80.43082943494028</v>
      </c>
    </row>
    <row r="129">
      <c r="A129" s="1" t="n">
        <v>45992.88194444445</v>
      </c>
      <c r="B129" t="n">
        <v>24.97</v>
      </c>
      <c r="C129" t="n">
        <v>61.81028459875832</v>
      </c>
    </row>
    <row r="130">
      <c r="A130" s="1" t="n">
        <v>45992.88888888889</v>
      </c>
      <c r="B130" t="n">
        <v>25.63</v>
      </c>
      <c r="C130" t="n">
        <v>49.34188376038829</v>
      </c>
    </row>
    <row r="131">
      <c r="A131" s="1" t="n">
        <v>45992.89583333334</v>
      </c>
      <c r="B131" t="n">
        <v>24.41</v>
      </c>
      <c r="C131" t="n">
        <v>62.75198296220687</v>
      </c>
    </row>
    <row r="132">
      <c r="A132" s="1" t="n">
        <v>45992.90277777778</v>
      </c>
      <c r="B132" t="n">
        <v>24.45</v>
      </c>
      <c r="C132" t="n">
        <v>52.10533970332527</v>
      </c>
    </row>
    <row r="133">
      <c r="A133" s="1" t="n">
        <v>45992.90972222222</v>
      </c>
      <c r="B133" t="n">
        <v>25.34</v>
      </c>
      <c r="C133" t="n">
        <v>51.08199853679033</v>
      </c>
    </row>
    <row r="134">
      <c r="A134" s="1" t="n">
        <v>45992.91666666666</v>
      </c>
      <c r="B134" t="n">
        <v>24.87</v>
      </c>
      <c r="C134" t="n">
        <v>62.26881087913689</v>
      </c>
    </row>
    <row r="135">
      <c r="A135" s="1" t="n">
        <v>45992.92361111111</v>
      </c>
      <c r="B135" t="n">
        <v>25.39</v>
      </c>
      <c r="C135" t="n">
        <v>55.24868470216922</v>
      </c>
    </row>
    <row r="136">
      <c r="A136" s="1" t="n">
        <v>45992.93055555555</v>
      </c>
      <c r="B136" t="n">
        <v>24.99</v>
      </c>
      <c r="C136" t="n">
        <v>57.22860731609445</v>
      </c>
    </row>
    <row r="137">
      <c r="A137" s="1" t="n">
        <v>45992.9375</v>
      </c>
      <c r="B137" t="n">
        <v>25.42</v>
      </c>
      <c r="C137" t="n">
        <v>55.11188177492234</v>
      </c>
    </row>
    <row r="138">
      <c r="A138" s="1" t="n">
        <v>45992.94444444445</v>
      </c>
      <c r="B138" t="n">
        <v>24.38</v>
      </c>
      <c r="C138" t="n">
        <v>57.69266501284348</v>
      </c>
      <c r="D138" t="inlineStr">
        <is>
          <t>sensor_check</t>
        </is>
      </c>
    </row>
    <row r="139">
      <c r="A139" s="1" t="n">
        <v>45992.95138888889</v>
      </c>
      <c r="B139" t="n">
        <v>24.99</v>
      </c>
      <c r="C139" t="n">
        <v>58.39972717948919</v>
      </c>
    </row>
    <row r="140">
      <c r="A140" s="1" t="n">
        <v>45992.95833333334</v>
      </c>
      <c r="B140" t="n">
        <v>24.87</v>
      </c>
      <c r="C140" t="n">
        <v>39.50426453835668</v>
      </c>
    </row>
    <row r="141">
      <c r="A141" s="1" t="n">
        <v>45992.96527777778</v>
      </c>
      <c r="B141" t="n">
        <v>24.27</v>
      </c>
      <c r="C141" t="n">
        <v>60.33258134887627</v>
      </c>
    </row>
    <row r="142">
      <c r="A142" s="1" t="n">
        <v>45992.97222222222</v>
      </c>
      <c r="B142" t="n">
        <v>24.06</v>
      </c>
      <c r="C142" t="n">
        <v>47.1438446413576</v>
      </c>
    </row>
    <row r="143">
      <c r="A143" s="1" t="n">
        <v>45992.97916666666</v>
      </c>
      <c r="B143" t="n">
        <v>25.41</v>
      </c>
      <c r="C143" t="n">
        <v>43.46160691552471</v>
      </c>
    </row>
    <row r="144">
      <c r="A144" s="1" t="n">
        <v>45992.98611111111</v>
      </c>
      <c r="B144" t="n">
        <v>24.79</v>
      </c>
      <c r="C144" t="n">
        <v>54.53271004913054</v>
      </c>
    </row>
    <row r="145">
      <c r="A145" s="1" t="n">
        <v>45992.99305555555</v>
      </c>
      <c r="B145" t="n">
        <v>24.39</v>
      </c>
      <c r="C145" t="n">
        <v>55.67184802651563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Timestamp</t>
        </is>
      </c>
      <c r="B1" t="inlineStr">
        <is>
          <t>temp reading</t>
        </is>
      </c>
      <c r="C1" t="inlineStr">
        <is>
          <t>Humidity (%)</t>
        </is>
      </c>
      <c r="D1" t="inlineStr">
        <is>
          <t>Note</t>
        </is>
      </c>
    </row>
    <row r="2">
      <c r="A2" s="1" t="n">
        <v>45992</v>
      </c>
      <c r="B2" t="n">
        <v>7.65</v>
      </c>
      <c r="C2" t="n">
        <v>53.67073726440214</v>
      </c>
      <c r="D2" t="inlineStr">
        <is>
          <t>sensor_check</t>
        </is>
      </c>
    </row>
    <row r="3">
      <c r="A3" s="1" t="n">
        <v>45992.00694444445</v>
      </c>
      <c r="B3" t="n">
        <v>8.42</v>
      </c>
      <c r="C3" t="n">
        <v>70.05739904163239</v>
      </c>
    </row>
    <row r="4">
      <c r="A4" s="1" t="n">
        <v>45992.01388888889</v>
      </c>
      <c r="B4" t="n">
        <v>7.33</v>
      </c>
      <c r="C4" t="n">
        <v>53.64224162863697</v>
      </c>
    </row>
    <row r="5">
      <c r="A5" s="1" t="n">
        <v>45992.02083333334</v>
      </c>
      <c r="B5" t="n">
        <v>7.8</v>
      </c>
      <c r="C5" t="n">
        <v>58.31033853752171</v>
      </c>
    </row>
    <row r="6">
      <c r="A6" s="1" t="n">
        <v>45992.02777777778</v>
      </c>
      <c r="B6" t="n">
        <v>7.71</v>
      </c>
      <c r="C6" t="n">
        <v>53.14184536060612</v>
      </c>
    </row>
    <row r="7">
      <c r="A7" s="1" t="n">
        <v>45992.03472222222</v>
      </c>
      <c r="B7" t="inlineStr">
        <is>
          <t>8.7</t>
        </is>
      </c>
      <c r="C7" t="n">
        <v>55.60570630365467</v>
      </c>
    </row>
    <row r="8">
      <c r="A8" s="1" t="n">
        <v>45992.04166666666</v>
      </c>
      <c r="B8" t="n">
        <v>8.140000000000001</v>
      </c>
      <c r="C8" t="n">
        <v>55.04813344348857</v>
      </c>
    </row>
    <row r="9">
      <c r="A9" s="1" t="n">
        <v>45992.04861111111</v>
      </c>
      <c r="B9" t="n">
        <v>7.5</v>
      </c>
      <c r="C9" t="n">
        <v>58.58659252778528</v>
      </c>
    </row>
    <row r="10">
      <c r="A10" s="1" t="n">
        <v>45992.05555555555</v>
      </c>
      <c r="B10" t="n">
        <v>8.359999999999999</v>
      </c>
      <c r="C10" t="n">
        <v>64.32246028437741</v>
      </c>
    </row>
    <row r="11">
      <c r="A11" s="1" t="n">
        <v>45992.0625</v>
      </c>
      <c r="B11" t="n">
        <v>8.029999999999999</v>
      </c>
      <c r="C11" t="n">
        <v>68.17915198082663</v>
      </c>
    </row>
    <row r="12">
      <c r="A12" s="1" t="n">
        <v>45992.06944444445</v>
      </c>
      <c r="B12" t="n">
        <v>7.05</v>
      </c>
      <c r="C12" t="n">
        <v>57.47696065527334</v>
      </c>
    </row>
    <row r="13">
      <c r="A13" s="1" t="n">
        <v>45992.07638888889</v>
      </c>
      <c r="B13" t="n">
        <v>7.02</v>
      </c>
      <c r="C13" t="n">
        <v>59.71637508828482</v>
      </c>
    </row>
    <row r="14">
      <c r="A14" s="1" t="n">
        <v>45992.08333333334</v>
      </c>
      <c r="B14" t="inlineStr">
        <is>
          <t>ERR</t>
        </is>
      </c>
      <c r="C14" t="n">
        <v>45.79308392651546</v>
      </c>
    </row>
    <row r="15">
      <c r="A15" s="1" t="n">
        <v>45992.09027777778</v>
      </c>
      <c r="B15" t="n">
        <v>7.89</v>
      </c>
      <c r="C15" t="n">
        <v>54.29698606067504</v>
      </c>
    </row>
    <row r="16">
      <c r="A16" s="1" t="n">
        <v>45992.09722222222</v>
      </c>
      <c r="B16" t="n">
        <v>7.95</v>
      </c>
      <c r="C16" t="n">
        <v>62.52231571906871</v>
      </c>
    </row>
    <row r="17">
      <c r="A17" s="1" t="n">
        <v>45992.10416666666</v>
      </c>
      <c r="B17" t="n">
        <v>7.99</v>
      </c>
      <c r="C17" t="n">
        <v>61.92774910733723</v>
      </c>
    </row>
    <row r="18">
      <c r="A18" s="1" t="n">
        <v>45992.11111111111</v>
      </c>
      <c r="B18" t="n">
        <v>8.109999999999999</v>
      </c>
      <c r="C18" t="n">
        <v>56.6928778623604</v>
      </c>
    </row>
    <row r="19">
      <c r="A19" s="1" t="n">
        <v>45992.11805555555</v>
      </c>
      <c r="B19" t="n">
        <v>8.470000000000001</v>
      </c>
      <c r="C19" t="n">
        <v>62.09115167654362</v>
      </c>
      <c r="D19" t="inlineStr">
        <is>
          <t>sensor_check</t>
        </is>
      </c>
    </row>
    <row r="20">
      <c r="A20" s="1" t="n">
        <v>45992.125</v>
      </c>
      <c r="B20" t="n">
        <v>7.44</v>
      </c>
      <c r="C20" t="n">
        <v>58.92613367195055</v>
      </c>
    </row>
    <row r="21">
      <c r="A21" s="1" t="n">
        <v>45992.13194444445</v>
      </c>
      <c r="B21" t="n">
        <v>7.41</v>
      </c>
      <c r="C21" t="n">
        <v>64.60245006607457</v>
      </c>
    </row>
    <row r="22">
      <c r="A22" s="1" t="n">
        <v>45992.13888888889</v>
      </c>
      <c r="B22" t="n">
        <v>7.45</v>
      </c>
      <c r="C22" t="n">
        <v>57.31487325565689</v>
      </c>
    </row>
    <row r="23">
      <c r="A23" s="1" t="n">
        <v>45992.14583333334</v>
      </c>
      <c r="B23" t="n">
        <v>8.140000000000001</v>
      </c>
      <c r="C23" t="n">
        <v>52.15441347543172</v>
      </c>
    </row>
    <row r="24">
      <c r="A24" s="1" t="n">
        <v>45992.15277777778</v>
      </c>
      <c r="B24" t="n">
        <v>8.619999999999999</v>
      </c>
      <c r="C24" t="n">
        <v>57.68673005546419</v>
      </c>
    </row>
    <row r="25">
      <c r="A25" s="1" t="n">
        <v>45992.15972222222</v>
      </c>
      <c r="B25" t="n">
        <v>7.78</v>
      </c>
      <c r="C25" t="n">
        <v>31.55524499317779</v>
      </c>
    </row>
    <row r="26">
      <c r="A26" s="1" t="n">
        <v>45992.16666666666</v>
      </c>
      <c r="B26" t="n">
        <v>6.75</v>
      </c>
      <c r="C26" t="n">
        <v>58.0630858910804</v>
      </c>
    </row>
    <row r="27">
      <c r="A27" s="1" t="n">
        <v>45992.17361111111</v>
      </c>
      <c r="B27" t="inlineStr">
        <is>
          <t xml:space="preserve"> </t>
        </is>
      </c>
      <c r="C27" t="n">
        <v>25.81269739828173</v>
      </c>
    </row>
    <row r="28">
      <c r="A28" s="1" t="n">
        <v>45992.18055555555</v>
      </c>
      <c r="B28" t="n">
        <v>7.58</v>
      </c>
      <c r="C28" t="n">
        <v>41.21229274075665</v>
      </c>
    </row>
    <row r="29">
      <c r="A29" s="1" t="n">
        <v>45992.1875</v>
      </c>
      <c r="B29" t="n">
        <v>7.72</v>
      </c>
      <c r="C29" t="n">
        <v>58.61414880752788</v>
      </c>
    </row>
    <row r="30">
      <c r="A30" s="1" t="n">
        <v>45992.19444444445</v>
      </c>
      <c r="B30" t="n">
        <v>7.8</v>
      </c>
      <c r="C30" t="n">
        <v>58.82023469813436</v>
      </c>
    </row>
    <row r="31">
      <c r="A31" s="1" t="n">
        <v>45992.20138888889</v>
      </c>
      <c r="B31" t="n">
        <v>8.02</v>
      </c>
      <c r="C31" t="n">
        <v>45.70056975888055</v>
      </c>
    </row>
    <row r="32">
      <c r="A32" s="1" t="n">
        <v>45992.20833333334</v>
      </c>
      <c r="B32" t="n">
        <v>7.84</v>
      </c>
      <c r="C32" t="n">
        <v>49.30318366496849</v>
      </c>
    </row>
    <row r="33">
      <c r="A33" s="1" t="n">
        <v>45992.21527777778</v>
      </c>
      <c r="B33" t="n">
        <v>8.52</v>
      </c>
      <c r="C33" t="n">
        <v>65.96432790891305</v>
      </c>
    </row>
    <row r="34">
      <c r="A34" s="1" t="n">
        <v>45992.22222222222</v>
      </c>
      <c r="B34" t="n">
        <v>7.66</v>
      </c>
      <c r="C34" t="n">
        <v>51.12775894741859</v>
      </c>
    </row>
    <row r="35">
      <c r="A35" s="1" t="n">
        <v>45992.22916666666</v>
      </c>
      <c r="B35" t="n">
        <v>7.57</v>
      </c>
      <c r="C35" t="n">
        <v>72.94336249922388</v>
      </c>
    </row>
    <row r="36">
      <c r="A36" s="1" t="n">
        <v>45992.23611111111</v>
      </c>
      <c r="B36" t="n">
        <v>8.24</v>
      </c>
      <c r="C36" t="n">
        <v>54.98464117458923</v>
      </c>
      <c r="D36" t="inlineStr">
        <is>
          <t>sensor_check</t>
        </is>
      </c>
    </row>
    <row r="37">
      <c r="A37" s="1" t="n">
        <v>45992.24305555555</v>
      </c>
      <c r="B37" t="n">
        <v>7.23</v>
      </c>
      <c r="C37" t="n">
        <v>58.26428941505014</v>
      </c>
    </row>
    <row r="38">
      <c r="A38" s="1" t="n">
        <v>45992.25</v>
      </c>
      <c r="B38" t="n">
        <v>8.19</v>
      </c>
      <c r="C38" t="n">
        <v>67.93499518798886</v>
      </c>
    </row>
    <row r="39">
      <c r="A39" s="1" t="n">
        <v>45992.25694444445</v>
      </c>
      <c r="B39" t="n">
        <v>8.050000000000001</v>
      </c>
      <c r="C39" t="n">
        <v>56.04821692954736</v>
      </c>
    </row>
    <row r="40">
      <c r="A40" s="1" t="n">
        <v>45992.26388888889</v>
      </c>
      <c r="B40" t="n">
        <v>7.93</v>
      </c>
      <c r="C40" t="n">
        <v>46.98124815447359</v>
      </c>
    </row>
    <row r="41">
      <c r="A41" s="1" t="n">
        <v>45992.27083333334</v>
      </c>
      <c r="B41" t="n">
        <v>8.789999999999999</v>
      </c>
      <c r="C41" t="n">
        <v>54.12218038644568</v>
      </c>
    </row>
    <row r="42">
      <c r="A42" s="1" t="n">
        <v>45992.27777777778</v>
      </c>
      <c r="B42" t="n">
        <v>7.69</v>
      </c>
      <c r="C42" t="n">
        <v>54.71511411047927</v>
      </c>
    </row>
    <row r="43">
      <c r="A43" s="1" t="n">
        <v>45992.28472222222</v>
      </c>
      <c r="B43" t="n">
        <v>9.029999999999999</v>
      </c>
      <c r="C43" t="n">
        <v>44.08206678238748</v>
      </c>
    </row>
    <row r="44">
      <c r="A44" s="1" t="n">
        <v>45992.29166666666</v>
      </c>
      <c r="B44" t="n">
        <v>7.89</v>
      </c>
      <c r="C44" t="n">
        <v>52.95334342927341</v>
      </c>
    </row>
    <row r="45">
      <c r="A45" s="1" t="n">
        <v>45992.29861111111</v>
      </c>
      <c r="B45" t="n">
        <v>7.36</v>
      </c>
      <c r="C45" t="n">
        <v>49.06246324802051</v>
      </c>
    </row>
    <row r="46">
      <c r="A46" s="1" t="n">
        <v>45992.30555555555</v>
      </c>
      <c r="B46" t="n">
        <v>8.029999999999999</v>
      </c>
      <c r="C46" t="n">
        <v>62.39486205749947</v>
      </c>
    </row>
    <row r="47">
      <c r="A47" s="1" t="n">
        <v>45992.3125</v>
      </c>
      <c r="B47" t="n">
        <v>7.46</v>
      </c>
      <c r="C47" t="n">
        <v>55.27689499348205</v>
      </c>
    </row>
    <row r="48">
      <c r="A48" s="1" t="n">
        <v>45992.31944444445</v>
      </c>
      <c r="B48" t="n">
        <v>7.62</v>
      </c>
      <c r="C48" t="n">
        <v>52.73763400681944</v>
      </c>
    </row>
    <row r="49">
      <c r="A49" s="1" t="n">
        <v>45992.32638888889</v>
      </c>
      <c r="B49" t="n">
        <v>8.199999999999999</v>
      </c>
      <c r="C49" t="n">
        <v>54.15054455501939</v>
      </c>
    </row>
    <row r="50">
      <c r="A50" s="1" t="n">
        <v>45992.33333333334</v>
      </c>
      <c r="B50" t="n">
        <v>8.279999999999999</v>
      </c>
      <c r="C50" t="n">
        <v>56.78497614724933</v>
      </c>
    </row>
    <row r="51">
      <c r="A51" s="1" t="n">
        <v>45992.34027777778</v>
      </c>
      <c r="B51" t="n">
        <v>7.69</v>
      </c>
      <c r="C51" t="n">
        <v>59.93451359751824</v>
      </c>
    </row>
    <row r="52">
      <c r="A52" s="1" t="n">
        <v>45992.34722222222</v>
      </c>
      <c r="B52" t="n">
        <v>8.49</v>
      </c>
      <c r="C52" t="n">
        <v>47.00230217064495</v>
      </c>
    </row>
    <row r="53">
      <c r="A53" s="1" t="n">
        <v>45992.35416666666</v>
      </c>
      <c r="B53" t="n">
        <v>8.58</v>
      </c>
      <c r="C53" t="n">
        <v>46.66729893902983</v>
      </c>
      <c r="D53" t="inlineStr">
        <is>
          <t>sensor_check</t>
        </is>
      </c>
    </row>
    <row r="54">
      <c r="A54" s="1" t="n">
        <v>45992.36111111111</v>
      </c>
      <c r="B54" t="n">
        <v>8.720000000000001</v>
      </c>
      <c r="C54" t="n">
        <v>63.83743372322024</v>
      </c>
    </row>
    <row r="55">
      <c r="A55" s="1" t="n">
        <v>45992.36805555555</v>
      </c>
      <c r="B55" t="n">
        <v>8.26</v>
      </c>
      <c r="C55" t="n">
        <v>51.70130502236216</v>
      </c>
    </row>
    <row r="56">
      <c r="A56" s="1" t="n">
        <v>45992.375</v>
      </c>
      <c r="B56" t="n">
        <v>8.68</v>
      </c>
      <c r="C56" t="n">
        <v>43.66526325922501</v>
      </c>
    </row>
    <row r="57">
      <c r="A57" s="1" t="n">
        <v>45992.38194444445</v>
      </c>
      <c r="B57" t="n">
        <v>7.06</v>
      </c>
      <c r="C57" t="n">
        <v>58.55050167506484</v>
      </c>
    </row>
    <row r="58">
      <c r="A58" s="1" t="n">
        <v>45992.38888888889</v>
      </c>
      <c r="B58" t="n">
        <v>7.84</v>
      </c>
      <c r="C58" t="n">
        <v>58.7069584482615</v>
      </c>
    </row>
    <row r="59">
      <c r="A59" s="1" t="n">
        <v>45992.39583333334</v>
      </c>
      <c r="B59" t="n">
        <v>7.57</v>
      </c>
      <c r="C59" t="n">
        <v>42.75427794194635</v>
      </c>
    </row>
    <row r="60">
      <c r="A60" s="1" t="n">
        <v>45992.40277777778</v>
      </c>
      <c r="B60" t="n">
        <v>8.06</v>
      </c>
      <c r="C60" t="n">
        <v>56.83585372370885</v>
      </c>
    </row>
    <row r="61">
      <c r="A61" s="1" t="n">
        <v>45992.40972222222</v>
      </c>
      <c r="B61" t="n">
        <v>7.71</v>
      </c>
      <c r="C61" t="n">
        <v>60.88466473942699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t="inlineStr">
        <is>
          <t>Timestamp</t>
        </is>
      </c>
      <c r="B1" t="inlineStr">
        <is>
          <t>Pressure (bar)</t>
        </is>
      </c>
      <c r="C1" t="inlineStr">
        <is>
          <t>Comment</t>
        </is>
      </c>
    </row>
    <row r="2">
      <c r="A2" s="1" t="n">
        <v>45992</v>
      </c>
      <c r="B2" t="n">
        <v>1.018719322585313</v>
      </c>
      <c r="C2" t="inlineStr">
        <is>
          <t>ok</t>
        </is>
      </c>
    </row>
    <row r="3">
      <c r="A3" s="1" t="n">
        <v>45992.02083333334</v>
      </c>
      <c r="B3" t="n">
        <v>1.03159907418807</v>
      </c>
      <c r="C3" t="inlineStr">
        <is>
          <t>ok</t>
        </is>
      </c>
    </row>
    <row r="4">
      <c r="A4" s="1" t="n">
        <v>45992.04166666666</v>
      </c>
      <c r="B4" t="n">
        <v>0.9297865450954625</v>
      </c>
      <c r="C4" t="inlineStr">
        <is>
          <t>ok</t>
        </is>
      </c>
    </row>
    <row r="5">
      <c r="A5" s="1" t="n">
        <v>45992.0625</v>
      </c>
      <c r="B5" t="n">
        <v>1.01655200774981</v>
      </c>
      <c r="C5" t="inlineStr">
        <is>
          <t>ok</t>
        </is>
      </c>
    </row>
    <row r="6">
      <c r="A6" s="1" t="n">
        <v>45992.08333333334</v>
      </c>
      <c r="B6" t="n">
        <v>0.9848690120264777</v>
      </c>
      <c r="C6" t="inlineStr">
        <is>
          <t>ok</t>
        </is>
      </c>
    </row>
    <row r="7">
      <c r="A7" s="1" t="n">
        <v>45992.10416666666</v>
      </c>
      <c r="B7" t="n">
        <v>0.9758604920637678</v>
      </c>
      <c r="C7" t="inlineStr">
        <is>
          <t>ok</t>
        </is>
      </c>
    </row>
    <row r="8">
      <c r="A8" s="1" t="n">
        <v>45992.125</v>
      </c>
      <c r="B8" t="n">
        <v>1.043527780470986</v>
      </c>
      <c r="C8" t="inlineStr">
        <is>
          <t>ok</t>
        </is>
      </c>
    </row>
    <row r="9">
      <c r="A9" s="1" t="n">
        <v>45992.14583333334</v>
      </c>
      <c r="B9" t="n">
        <v>1.073963725533712</v>
      </c>
      <c r="C9" t="inlineStr">
        <is>
          <t>ok</t>
        </is>
      </c>
    </row>
    <row r="10">
      <c r="A10" s="1" t="n">
        <v>45992.16666666666</v>
      </c>
      <c r="B10" t="n">
        <v>1.089718502730018</v>
      </c>
      <c r="C10" t="inlineStr">
        <is>
          <t>ok</t>
        </is>
      </c>
    </row>
    <row r="11">
      <c r="A11" s="1" t="n">
        <v>45992.1875</v>
      </c>
      <c r="B11" t="n">
        <v>1.065740393575295</v>
      </c>
      <c r="C11" t="inlineStr">
        <is>
          <t>ok</t>
        </is>
      </c>
    </row>
    <row r="12">
      <c r="A12" s="1" t="n">
        <v>45992.20833333334</v>
      </c>
      <c r="B12" t="n">
        <v>0.9945132909184908</v>
      </c>
      <c r="C12" t="inlineStr">
        <is>
          <t>ok</t>
        </is>
      </c>
    </row>
    <row r="13">
      <c r="A13" s="1" t="n">
        <v>45992.22916666666</v>
      </c>
      <c r="B13" t="n">
        <v>1.017636008151317</v>
      </c>
      <c r="C13" t="inlineStr">
        <is>
          <t>ok</t>
        </is>
      </c>
    </row>
    <row r="14">
      <c r="A14" s="1" t="n">
        <v>45992.25</v>
      </c>
      <c r="B14" t="n">
        <v>1.038341143589212</v>
      </c>
      <c r="C14" t="inlineStr">
        <is>
          <t>ok</t>
        </is>
      </c>
    </row>
    <row r="15">
      <c r="A15" s="1" t="n">
        <v>45992.27083333334</v>
      </c>
      <c r="B15" t="n">
        <v>1.006058897464973</v>
      </c>
      <c r="C15" t="inlineStr">
        <is>
          <t>ok</t>
        </is>
      </c>
    </row>
    <row r="16">
      <c r="A16" s="1" t="n">
        <v>45992.29166666666</v>
      </c>
      <c r="B16" t="n">
        <v>1.006538209395577</v>
      </c>
      <c r="C16" t="inlineStr">
        <is>
          <t>ok</t>
        </is>
      </c>
    </row>
    <row r="17">
      <c r="A17" s="1" t="n">
        <v>45992.3125</v>
      </c>
      <c r="B17" t="n">
        <v>1.041187656593809</v>
      </c>
      <c r="C17" t="inlineStr">
        <is>
          <t>ok</t>
        </is>
      </c>
    </row>
    <row r="18">
      <c r="A18" s="1" t="n">
        <v>45992.33333333334</v>
      </c>
      <c r="B18" t="n">
        <v>0.9970358676987033</v>
      </c>
      <c r="C18" t="inlineStr">
        <is>
          <t>ok</t>
        </is>
      </c>
    </row>
    <row r="19">
      <c r="A19" s="1" t="n">
        <v>45992.35416666666</v>
      </c>
      <c r="B19" t="n">
        <v>0.963535653181317</v>
      </c>
      <c r="C19" t="inlineStr">
        <is>
          <t>ok</t>
        </is>
      </c>
    </row>
    <row r="20">
      <c r="A20" s="1" t="n">
        <v>45992.375</v>
      </c>
      <c r="B20" t="n">
        <v>0.9792763467082071</v>
      </c>
      <c r="C20" t="inlineStr">
        <is>
          <t>ok</t>
        </is>
      </c>
    </row>
    <row r="21">
      <c r="A21" s="1" t="n">
        <v>45992.39583333334</v>
      </c>
      <c r="B21" t="n">
        <v>1.031695518886687</v>
      </c>
      <c r="C21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Timestamp</t>
        </is>
      </c>
      <c r="B1" t="inlineStr">
        <is>
          <t>TEMP</t>
        </is>
      </c>
      <c r="C1" t="inlineStr">
        <is>
          <t>Humidity (%)</t>
        </is>
      </c>
      <c r="D1" t="inlineStr">
        <is>
          <t>Note</t>
        </is>
      </c>
    </row>
    <row r="2">
      <c r="A2" s="1" t="n">
        <v>45992</v>
      </c>
      <c r="C2" t="n">
        <v>55.02394632959965</v>
      </c>
      <c r="D2" t="inlineStr">
        <is>
          <t>sensor_check</t>
        </is>
      </c>
    </row>
    <row r="3">
      <c r="A3" s="1" t="n">
        <v>45992.00694444445</v>
      </c>
      <c r="C3" t="n">
        <v>57.7216798149467</v>
      </c>
    </row>
    <row r="4">
      <c r="A4" s="1" t="n">
        <v>45992.01388888889</v>
      </c>
      <c r="C4" t="n">
        <v>60.36063393761752</v>
      </c>
    </row>
    <row r="5">
      <c r="A5" s="1" t="n">
        <v>45992.02083333334</v>
      </c>
      <c r="C5" t="n">
        <v>52.00126829681912</v>
      </c>
    </row>
    <row r="6">
      <c r="A6" s="1" t="n">
        <v>45992.02777777778</v>
      </c>
      <c r="C6" t="n">
        <v>61.04998530903845</v>
      </c>
    </row>
    <row r="7">
      <c r="A7" s="1" t="n">
        <v>45992.03472222222</v>
      </c>
      <c r="C7" t="n">
        <v>58.03074082766715</v>
      </c>
    </row>
    <row r="8">
      <c r="A8" s="1" t="n">
        <v>45992.04166666666</v>
      </c>
      <c r="C8" t="n">
        <v>45.12149530470817</v>
      </c>
    </row>
    <row r="9">
      <c r="A9" s="1" t="n">
        <v>45992.04861111111</v>
      </c>
      <c r="C9" t="n">
        <v>66.53843832948995</v>
      </c>
    </row>
    <row r="10">
      <c r="A10" s="1" t="n">
        <v>45992.05555555555</v>
      </c>
      <c r="C10" t="n">
        <v>50.99404204994467</v>
      </c>
    </row>
    <row r="11">
      <c r="A11" s="1" t="n">
        <v>45992.0625</v>
      </c>
      <c r="C11" t="n">
        <v>41.75923725451853</v>
      </c>
    </row>
    <row r="12">
      <c r="A12" s="1" t="n">
        <v>45992.06944444445</v>
      </c>
      <c r="C12" t="n">
        <v>46.63965032330958</v>
      </c>
    </row>
    <row r="13">
      <c r="A13" s="1" t="n">
        <v>45992.07638888889</v>
      </c>
      <c r="C13" t="n">
        <v>46.83163871457342</v>
      </c>
    </row>
    <row r="14">
      <c r="A14" s="1" t="n">
        <v>45992.08333333334</v>
      </c>
      <c r="C14" t="n">
        <v>55.41738654926026</v>
      </c>
    </row>
    <row r="15">
      <c r="A15" s="1" t="n">
        <v>45992.09027777778</v>
      </c>
      <c r="C15" t="n">
        <v>52.8091959556301</v>
      </c>
    </row>
    <row r="16">
      <c r="A16" s="1" t="n">
        <v>45992.09722222222</v>
      </c>
      <c r="C16" t="n">
        <v>52.30534425887526</v>
      </c>
    </row>
    <row r="17">
      <c r="A17" s="1" t="n">
        <v>45992.10416666666</v>
      </c>
      <c r="C17" t="n">
        <v>59.95761572385983</v>
      </c>
    </row>
    <row r="18">
      <c r="A18" s="1" t="n">
        <v>45992.11111111111</v>
      </c>
      <c r="C18" t="n">
        <v>57.71900288954163</v>
      </c>
    </row>
    <row r="19">
      <c r="A19" s="1" t="n">
        <v>45992.11805555555</v>
      </c>
      <c r="C19" t="n">
        <v>57.52838296515429</v>
      </c>
      <c r="D19" t="inlineStr">
        <is>
          <t>sensor_check</t>
        </is>
      </c>
    </row>
    <row r="20">
      <c r="A20" s="1" t="n">
        <v>45992.125</v>
      </c>
      <c r="C20" t="n">
        <v>58.27862765862954</v>
      </c>
    </row>
    <row r="21">
      <c r="A21" s="1" t="n">
        <v>45992.13194444445</v>
      </c>
      <c r="C21" t="n">
        <v>59.92907734401791</v>
      </c>
    </row>
    <row r="22">
      <c r="A22" s="1" t="n">
        <v>45992.13888888889</v>
      </c>
      <c r="C22" t="n">
        <v>38.13637326578046</v>
      </c>
    </row>
    <row r="23">
      <c r="A23" s="1" t="n">
        <v>45992.14583333334</v>
      </c>
      <c r="C23" t="n">
        <v>52.08449398188431</v>
      </c>
    </row>
    <row r="24">
      <c r="A24" s="1" t="n">
        <v>45992.15277777778</v>
      </c>
      <c r="C24" t="n">
        <v>37.55831948408421</v>
      </c>
    </row>
    <row r="25">
      <c r="A25" s="1" t="n">
        <v>45992.15972222222</v>
      </c>
      <c r="C25" t="n">
        <v>55.28847941438237</v>
      </c>
    </row>
    <row r="26">
      <c r="A26" s="1" t="n">
        <v>45992.16666666666</v>
      </c>
      <c r="C26" t="n">
        <v>54.96293622220524</v>
      </c>
    </row>
    <row r="27">
      <c r="A27" s="1" t="n">
        <v>45992.17361111111</v>
      </c>
      <c r="C27" t="n">
        <v>63.36425819831744</v>
      </c>
    </row>
    <row r="28">
      <c r="A28" s="1" t="n">
        <v>45992.18055555555</v>
      </c>
      <c r="C28" t="n">
        <v>64.50107514176896</v>
      </c>
    </row>
    <row r="29">
      <c r="A29" s="1" t="n">
        <v>45992.1875</v>
      </c>
      <c r="C29" t="n">
        <v>56.62220038601894</v>
      </c>
    </row>
    <row r="30">
      <c r="A30" s="1" t="n">
        <v>45992.19444444445</v>
      </c>
      <c r="C30" t="n">
        <v>50.9971113808248</v>
      </c>
    </row>
    <row r="31">
      <c r="A31" s="1" t="n">
        <v>45992.20138888889</v>
      </c>
      <c r="C31" t="n">
        <v>58.8812889003659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2" t="inlineStr">
        <is>
          <t>Independent Excel Verification (Chamber_A)</t>
        </is>
      </c>
    </row>
    <row r="3">
      <c r="A3" s="3" t="inlineStr">
        <is>
          <t>Instructions</t>
        </is>
      </c>
      <c r="E3" s="3" t="inlineStr">
        <is>
          <t>Expected results for dataset (script cleaning rules)</t>
        </is>
      </c>
    </row>
    <row r="4">
      <c r="A4" t="inlineStr">
        <is>
          <t>This sheet independently computes MKT using Excel formulas from the copied Chamber_A data.</t>
        </is>
      </c>
      <c r="E4" s="4" t="inlineStr">
        <is>
          <t>Sheet</t>
        </is>
      </c>
      <c r="F4" s="4" t="inlineStr">
        <is>
          <t>Temperature column</t>
        </is>
      </c>
      <c r="G4" s="4" t="inlineStr">
        <is>
          <t>No. of points</t>
        </is>
      </c>
      <c r="H4" s="4" t="inlineStr">
        <is>
          <t>MKT (K)</t>
        </is>
      </c>
      <c r="I4" s="4" t="inlineStr">
        <is>
          <t>MKT (°C)</t>
        </is>
      </c>
    </row>
    <row r="5">
      <c r="A5" t="inlineStr">
        <is>
          <t>Acceptance: Script MKT(°C) matches this sheet's MKT(°C) within ±0.01 °C (rounding).</t>
        </is>
      </c>
      <c r="E5" t="inlineStr">
        <is>
          <t>Chamber_A</t>
        </is>
      </c>
      <c r="F5" t="inlineStr">
        <is>
          <t>Temp_C</t>
        </is>
      </c>
      <c r="G5" t="n">
        <v>288</v>
      </c>
      <c r="H5" t="n">
        <v>278.41</v>
      </c>
      <c r="I5" t="n">
        <v>5.26</v>
      </c>
    </row>
    <row r="6">
      <c r="E6" t="inlineStr">
        <is>
          <t>Chamber_B_missing</t>
        </is>
      </c>
      <c r="F6" t="inlineStr">
        <is>
          <t>Temperature (°C)</t>
        </is>
      </c>
      <c r="G6" t="n">
        <v>140</v>
      </c>
      <c r="H6" t="n">
        <v>298.11</v>
      </c>
      <c r="I6" t="n">
        <v>24.96</v>
      </c>
    </row>
    <row r="7">
      <c r="A7" s="3" t="inlineStr">
        <is>
          <t>Row-by-row terms</t>
        </is>
      </c>
      <c r="E7" t="inlineStr">
        <is>
          <t>Chamber_C_mixed</t>
        </is>
      </c>
      <c r="F7" t="inlineStr">
        <is>
          <t>temp reading</t>
        </is>
      </c>
      <c r="G7" t="n">
        <v>58</v>
      </c>
      <c r="H7" t="n">
        <v>281.08</v>
      </c>
      <c r="I7" t="n">
        <v>7.93</v>
      </c>
    </row>
    <row r="8">
      <c r="A8" s="4" t="inlineStr">
        <is>
          <t>Temp (°C)</t>
        </is>
      </c>
      <c r="B8" s="4" t="inlineStr">
        <is>
          <t>Temp (K)</t>
        </is>
      </c>
      <c r="C8" s="4" t="inlineStr">
        <is>
          <t>exp(-Ea/(R*T))</t>
        </is>
      </c>
    </row>
    <row r="9">
      <c r="A9">
        <f>Chamber_A!B2</f>
        <v/>
      </c>
      <c r="B9">
        <f>A9+273.15</f>
        <v/>
      </c>
      <c r="C9">
        <f>EXP(-83144/(8.314*B9))</f>
        <v/>
      </c>
    </row>
    <row r="10">
      <c r="A10">
        <f>Chamber_A!B3</f>
        <v/>
      </c>
      <c r="B10">
        <f>A10+273.15</f>
        <v/>
      </c>
      <c r="C10">
        <f>EXP(-83144/(8.314*B10))</f>
        <v/>
      </c>
    </row>
    <row r="11">
      <c r="A11">
        <f>Chamber_A!B4</f>
        <v/>
      </c>
      <c r="B11">
        <f>A11+273.15</f>
        <v/>
      </c>
      <c r="C11">
        <f>EXP(-83144/(8.314*B11))</f>
        <v/>
      </c>
    </row>
    <row r="12">
      <c r="A12">
        <f>Chamber_A!B5</f>
        <v/>
      </c>
      <c r="B12">
        <f>A12+273.15</f>
        <v/>
      </c>
      <c r="C12">
        <f>EXP(-83144/(8.314*B12))</f>
        <v/>
      </c>
    </row>
    <row r="13">
      <c r="A13">
        <f>Chamber_A!B6</f>
        <v/>
      </c>
      <c r="B13">
        <f>A13+273.15</f>
        <v/>
      </c>
      <c r="C13">
        <f>EXP(-83144/(8.314*B13))</f>
        <v/>
      </c>
    </row>
    <row r="14">
      <c r="A14">
        <f>Chamber_A!B7</f>
        <v/>
      </c>
      <c r="B14">
        <f>A14+273.15</f>
        <v/>
      </c>
      <c r="C14">
        <f>EXP(-83144/(8.314*B14))</f>
        <v/>
      </c>
    </row>
    <row r="15">
      <c r="A15">
        <f>Chamber_A!B8</f>
        <v/>
      </c>
      <c r="B15">
        <f>A15+273.15</f>
        <v/>
      </c>
      <c r="C15">
        <f>EXP(-83144/(8.314*B15))</f>
        <v/>
      </c>
    </row>
    <row r="16">
      <c r="A16">
        <f>Chamber_A!B9</f>
        <v/>
      </c>
      <c r="B16">
        <f>A16+273.15</f>
        <v/>
      </c>
      <c r="C16">
        <f>EXP(-83144/(8.314*B16))</f>
        <v/>
      </c>
    </row>
    <row r="17">
      <c r="A17">
        <f>Chamber_A!B10</f>
        <v/>
      </c>
      <c r="B17">
        <f>A17+273.15</f>
        <v/>
      </c>
      <c r="C17">
        <f>EXP(-83144/(8.314*B17))</f>
        <v/>
      </c>
    </row>
    <row r="18">
      <c r="A18">
        <f>Chamber_A!B11</f>
        <v/>
      </c>
      <c r="B18">
        <f>A18+273.15</f>
        <v/>
      </c>
      <c r="C18">
        <f>EXP(-83144/(8.314*B18))</f>
        <v/>
      </c>
    </row>
    <row r="19">
      <c r="A19">
        <f>Chamber_A!B12</f>
        <v/>
      </c>
      <c r="B19">
        <f>A19+273.15</f>
        <v/>
      </c>
      <c r="C19">
        <f>EXP(-83144/(8.314*B19))</f>
        <v/>
      </c>
    </row>
    <row r="20">
      <c r="A20">
        <f>Chamber_A!B13</f>
        <v/>
      </c>
      <c r="B20">
        <f>A20+273.15</f>
        <v/>
      </c>
      <c r="C20">
        <f>EXP(-83144/(8.314*B20))</f>
        <v/>
      </c>
    </row>
    <row r="21">
      <c r="A21">
        <f>Chamber_A!B14</f>
        <v/>
      </c>
      <c r="B21">
        <f>A21+273.15</f>
        <v/>
      </c>
      <c r="C21">
        <f>EXP(-83144/(8.314*B21))</f>
        <v/>
      </c>
    </row>
    <row r="22">
      <c r="A22">
        <f>Chamber_A!B15</f>
        <v/>
      </c>
      <c r="B22">
        <f>A22+273.15</f>
        <v/>
      </c>
      <c r="C22">
        <f>EXP(-83144/(8.314*B22))</f>
        <v/>
      </c>
    </row>
    <row r="23">
      <c r="A23">
        <f>Chamber_A!B16</f>
        <v/>
      </c>
      <c r="B23">
        <f>A23+273.15</f>
        <v/>
      </c>
      <c r="C23">
        <f>EXP(-83144/(8.314*B23))</f>
        <v/>
      </c>
    </row>
    <row r="24">
      <c r="A24">
        <f>Chamber_A!B17</f>
        <v/>
      </c>
      <c r="B24">
        <f>A24+273.15</f>
        <v/>
      </c>
      <c r="C24">
        <f>EXP(-83144/(8.314*B24))</f>
        <v/>
      </c>
    </row>
    <row r="25">
      <c r="A25">
        <f>Chamber_A!B18</f>
        <v/>
      </c>
      <c r="B25">
        <f>A25+273.15</f>
        <v/>
      </c>
      <c r="C25">
        <f>EXP(-83144/(8.314*B25))</f>
        <v/>
      </c>
    </row>
    <row r="26">
      <c r="A26">
        <f>Chamber_A!B19</f>
        <v/>
      </c>
      <c r="B26">
        <f>A26+273.15</f>
        <v/>
      </c>
      <c r="C26">
        <f>EXP(-83144/(8.314*B26))</f>
        <v/>
      </c>
    </row>
    <row r="27">
      <c r="A27">
        <f>Chamber_A!B20</f>
        <v/>
      </c>
      <c r="B27">
        <f>A27+273.15</f>
        <v/>
      </c>
      <c r="C27">
        <f>EXP(-83144/(8.314*B27))</f>
        <v/>
      </c>
    </row>
    <row r="28">
      <c r="A28">
        <f>Chamber_A!B21</f>
        <v/>
      </c>
      <c r="B28">
        <f>A28+273.15</f>
        <v/>
      </c>
      <c r="C28">
        <f>EXP(-83144/(8.314*B28))</f>
        <v/>
      </c>
    </row>
    <row r="29">
      <c r="A29">
        <f>Chamber_A!B22</f>
        <v/>
      </c>
      <c r="B29">
        <f>A29+273.15</f>
        <v/>
      </c>
      <c r="C29">
        <f>EXP(-83144/(8.314*B29))</f>
        <v/>
      </c>
    </row>
    <row r="30">
      <c r="A30">
        <f>Chamber_A!B23</f>
        <v/>
      </c>
      <c r="B30">
        <f>A30+273.15</f>
        <v/>
      </c>
      <c r="C30">
        <f>EXP(-83144/(8.314*B30))</f>
        <v/>
      </c>
    </row>
    <row r="31">
      <c r="A31">
        <f>Chamber_A!B24</f>
        <v/>
      </c>
      <c r="B31">
        <f>A31+273.15</f>
        <v/>
      </c>
      <c r="C31">
        <f>EXP(-83144/(8.314*B31))</f>
        <v/>
      </c>
    </row>
    <row r="32">
      <c r="A32">
        <f>Chamber_A!B25</f>
        <v/>
      </c>
      <c r="B32">
        <f>A32+273.15</f>
        <v/>
      </c>
      <c r="C32">
        <f>EXP(-83144/(8.314*B32))</f>
        <v/>
      </c>
    </row>
    <row r="33">
      <c r="A33">
        <f>Chamber_A!B26</f>
        <v/>
      </c>
      <c r="B33">
        <f>A33+273.15</f>
        <v/>
      </c>
      <c r="C33">
        <f>EXP(-83144/(8.314*B33))</f>
        <v/>
      </c>
    </row>
    <row r="34">
      <c r="A34">
        <f>Chamber_A!B27</f>
        <v/>
      </c>
      <c r="B34">
        <f>A34+273.15</f>
        <v/>
      </c>
      <c r="C34">
        <f>EXP(-83144/(8.314*B34))</f>
        <v/>
      </c>
    </row>
    <row r="35">
      <c r="A35">
        <f>Chamber_A!B28</f>
        <v/>
      </c>
      <c r="B35">
        <f>A35+273.15</f>
        <v/>
      </c>
      <c r="C35">
        <f>EXP(-83144/(8.314*B35))</f>
        <v/>
      </c>
    </row>
    <row r="36">
      <c r="A36">
        <f>Chamber_A!B29</f>
        <v/>
      </c>
      <c r="B36">
        <f>A36+273.15</f>
        <v/>
      </c>
      <c r="C36">
        <f>EXP(-83144/(8.314*B36))</f>
        <v/>
      </c>
    </row>
    <row r="37">
      <c r="A37">
        <f>Chamber_A!B30</f>
        <v/>
      </c>
      <c r="B37">
        <f>A37+273.15</f>
        <v/>
      </c>
      <c r="C37">
        <f>EXP(-83144/(8.314*B37))</f>
        <v/>
      </c>
    </row>
    <row r="38">
      <c r="A38">
        <f>Chamber_A!B31</f>
        <v/>
      </c>
      <c r="B38">
        <f>A38+273.15</f>
        <v/>
      </c>
      <c r="C38">
        <f>EXP(-83144/(8.314*B38))</f>
        <v/>
      </c>
    </row>
    <row r="39">
      <c r="A39">
        <f>Chamber_A!B32</f>
        <v/>
      </c>
      <c r="B39">
        <f>A39+273.15</f>
        <v/>
      </c>
      <c r="C39">
        <f>EXP(-83144/(8.314*B39))</f>
        <v/>
      </c>
    </row>
    <row r="40">
      <c r="A40">
        <f>Chamber_A!B33</f>
        <v/>
      </c>
      <c r="B40">
        <f>A40+273.15</f>
        <v/>
      </c>
      <c r="C40">
        <f>EXP(-83144/(8.314*B40))</f>
        <v/>
      </c>
    </row>
    <row r="41">
      <c r="A41">
        <f>Chamber_A!B34</f>
        <v/>
      </c>
      <c r="B41">
        <f>A41+273.15</f>
        <v/>
      </c>
      <c r="C41">
        <f>EXP(-83144/(8.314*B41))</f>
        <v/>
      </c>
    </row>
    <row r="42">
      <c r="A42">
        <f>Chamber_A!B35</f>
        <v/>
      </c>
      <c r="B42">
        <f>A42+273.15</f>
        <v/>
      </c>
      <c r="C42">
        <f>EXP(-83144/(8.314*B42))</f>
        <v/>
      </c>
    </row>
    <row r="43">
      <c r="A43">
        <f>Chamber_A!B36</f>
        <v/>
      </c>
      <c r="B43">
        <f>A43+273.15</f>
        <v/>
      </c>
      <c r="C43">
        <f>EXP(-83144/(8.314*B43))</f>
        <v/>
      </c>
    </row>
    <row r="44">
      <c r="A44">
        <f>Chamber_A!B37</f>
        <v/>
      </c>
      <c r="B44">
        <f>A44+273.15</f>
        <v/>
      </c>
      <c r="C44">
        <f>EXP(-83144/(8.314*B44))</f>
        <v/>
      </c>
    </row>
    <row r="45">
      <c r="A45">
        <f>Chamber_A!B38</f>
        <v/>
      </c>
      <c r="B45">
        <f>A45+273.15</f>
        <v/>
      </c>
      <c r="C45">
        <f>EXP(-83144/(8.314*B45))</f>
        <v/>
      </c>
    </row>
    <row r="46">
      <c r="A46">
        <f>Chamber_A!B39</f>
        <v/>
      </c>
      <c r="B46">
        <f>A46+273.15</f>
        <v/>
      </c>
      <c r="C46">
        <f>EXP(-83144/(8.314*B46))</f>
        <v/>
      </c>
    </row>
    <row r="47">
      <c r="A47">
        <f>Chamber_A!B40</f>
        <v/>
      </c>
      <c r="B47">
        <f>A47+273.15</f>
        <v/>
      </c>
      <c r="C47">
        <f>EXP(-83144/(8.314*B47))</f>
        <v/>
      </c>
    </row>
    <row r="48">
      <c r="A48">
        <f>Chamber_A!B41</f>
        <v/>
      </c>
      <c r="B48">
        <f>A48+273.15</f>
        <v/>
      </c>
      <c r="C48">
        <f>EXP(-83144/(8.314*B48))</f>
        <v/>
      </c>
    </row>
    <row r="49">
      <c r="A49">
        <f>Chamber_A!B42</f>
        <v/>
      </c>
      <c r="B49">
        <f>A49+273.15</f>
        <v/>
      </c>
      <c r="C49">
        <f>EXP(-83144/(8.314*B49))</f>
        <v/>
      </c>
    </row>
    <row r="50">
      <c r="A50">
        <f>Chamber_A!B43</f>
        <v/>
      </c>
      <c r="B50">
        <f>A50+273.15</f>
        <v/>
      </c>
      <c r="C50">
        <f>EXP(-83144/(8.314*B50))</f>
        <v/>
      </c>
    </row>
    <row r="51">
      <c r="A51">
        <f>Chamber_A!B44</f>
        <v/>
      </c>
      <c r="B51">
        <f>A51+273.15</f>
        <v/>
      </c>
      <c r="C51">
        <f>EXP(-83144/(8.314*B51))</f>
        <v/>
      </c>
    </row>
    <row r="52">
      <c r="A52">
        <f>Chamber_A!B45</f>
        <v/>
      </c>
      <c r="B52">
        <f>A52+273.15</f>
        <v/>
      </c>
      <c r="C52">
        <f>EXP(-83144/(8.314*B52))</f>
        <v/>
      </c>
    </row>
    <row r="53">
      <c r="A53">
        <f>Chamber_A!B46</f>
        <v/>
      </c>
      <c r="B53">
        <f>A53+273.15</f>
        <v/>
      </c>
      <c r="C53">
        <f>EXP(-83144/(8.314*B53))</f>
        <v/>
      </c>
    </row>
    <row r="54">
      <c r="A54">
        <f>Chamber_A!B47</f>
        <v/>
      </c>
      <c r="B54">
        <f>A54+273.15</f>
        <v/>
      </c>
      <c r="C54">
        <f>EXP(-83144/(8.314*B54))</f>
        <v/>
      </c>
    </row>
    <row r="55">
      <c r="A55">
        <f>Chamber_A!B48</f>
        <v/>
      </c>
      <c r="B55">
        <f>A55+273.15</f>
        <v/>
      </c>
      <c r="C55">
        <f>EXP(-83144/(8.314*B55))</f>
        <v/>
      </c>
    </row>
    <row r="56">
      <c r="A56">
        <f>Chamber_A!B49</f>
        <v/>
      </c>
      <c r="B56">
        <f>A56+273.15</f>
        <v/>
      </c>
      <c r="C56">
        <f>EXP(-83144/(8.314*B56))</f>
        <v/>
      </c>
    </row>
    <row r="57">
      <c r="A57">
        <f>Chamber_A!B50</f>
        <v/>
      </c>
      <c r="B57">
        <f>A57+273.15</f>
        <v/>
      </c>
      <c r="C57">
        <f>EXP(-83144/(8.314*B57))</f>
        <v/>
      </c>
    </row>
    <row r="58">
      <c r="A58">
        <f>Chamber_A!B51</f>
        <v/>
      </c>
      <c r="B58">
        <f>A58+273.15</f>
        <v/>
      </c>
      <c r="C58">
        <f>EXP(-83144/(8.314*B58))</f>
        <v/>
      </c>
    </row>
    <row r="59">
      <c r="A59">
        <f>Chamber_A!B52</f>
        <v/>
      </c>
      <c r="B59">
        <f>A59+273.15</f>
        <v/>
      </c>
      <c r="C59">
        <f>EXP(-83144/(8.314*B59))</f>
        <v/>
      </c>
    </row>
    <row r="60">
      <c r="A60">
        <f>Chamber_A!B53</f>
        <v/>
      </c>
      <c r="B60">
        <f>A60+273.15</f>
        <v/>
      </c>
      <c r="C60">
        <f>EXP(-83144/(8.314*B60))</f>
        <v/>
      </c>
    </row>
    <row r="61">
      <c r="A61">
        <f>Chamber_A!B54</f>
        <v/>
      </c>
      <c r="B61">
        <f>A61+273.15</f>
        <v/>
      </c>
      <c r="C61">
        <f>EXP(-83144/(8.314*B61))</f>
        <v/>
      </c>
    </row>
    <row r="62">
      <c r="A62">
        <f>Chamber_A!B55</f>
        <v/>
      </c>
      <c r="B62">
        <f>A62+273.15</f>
        <v/>
      </c>
      <c r="C62">
        <f>EXP(-83144/(8.314*B62))</f>
        <v/>
      </c>
    </row>
    <row r="63">
      <c r="A63">
        <f>Chamber_A!B56</f>
        <v/>
      </c>
      <c r="B63">
        <f>A63+273.15</f>
        <v/>
      </c>
      <c r="C63">
        <f>EXP(-83144/(8.314*B63))</f>
        <v/>
      </c>
    </row>
    <row r="64">
      <c r="A64">
        <f>Chamber_A!B57</f>
        <v/>
      </c>
      <c r="B64">
        <f>A64+273.15</f>
        <v/>
      </c>
      <c r="C64">
        <f>EXP(-83144/(8.314*B64))</f>
        <v/>
      </c>
    </row>
    <row r="65">
      <c r="A65">
        <f>Chamber_A!B58</f>
        <v/>
      </c>
      <c r="B65">
        <f>A65+273.15</f>
        <v/>
      </c>
      <c r="C65">
        <f>EXP(-83144/(8.314*B65))</f>
        <v/>
      </c>
    </row>
    <row r="66">
      <c r="A66">
        <f>Chamber_A!B59</f>
        <v/>
      </c>
      <c r="B66">
        <f>A66+273.15</f>
        <v/>
      </c>
      <c r="C66">
        <f>EXP(-83144/(8.314*B66))</f>
        <v/>
      </c>
    </row>
    <row r="67">
      <c r="A67">
        <f>Chamber_A!B60</f>
        <v/>
      </c>
      <c r="B67">
        <f>A67+273.15</f>
        <v/>
      </c>
      <c r="C67">
        <f>EXP(-83144/(8.314*B67))</f>
        <v/>
      </c>
    </row>
    <row r="68">
      <c r="A68">
        <f>Chamber_A!B61</f>
        <v/>
      </c>
      <c r="B68">
        <f>A68+273.15</f>
        <v/>
      </c>
      <c r="C68">
        <f>EXP(-83144/(8.314*B68))</f>
        <v/>
      </c>
    </row>
    <row r="69">
      <c r="A69">
        <f>Chamber_A!B62</f>
        <v/>
      </c>
      <c r="B69">
        <f>A69+273.15</f>
        <v/>
      </c>
      <c r="C69">
        <f>EXP(-83144/(8.314*B69))</f>
        <v/>
      </c>
    </row>
    <row r="70">
      <c r="A70">
        <f>Chamber_A!B63</f>
        <v/>
      </c>
      <c r="B70">
        <f>A70+273.15</f>
        <v/>
      </c>
      <c r="C70">
        <f>EXP(-83144/(8.314*B70))</f>
        <v/>
      </c>
    </row>
    <row r="71">
      <c r="A71">
        <f>Chamber_A!B64</f>
        <v/>
      </c>
      <c r="B71">
        <f>A71+273.15</f>
        <v/>
      </c>
      <c r="C71">
        <f>EXP(-83144/(8.314*B71))</f>
        <v/>
      </c>
    </row>
    <row r="72">
      <c r="A72">
        <f>Chamber_A!B65</f>
        <v/>
      </c>
      <c r="B72">
        <f>A72+273.15</f>
        <v/>
      </c>
      <c r="C72">
        <f>EXP(-83144/(8.314*B72))</f>
        <v/>
      </c>
    </row>
    <row r="73">
      <c r="A73">
        <f>Chamber_A!B66</f>
        <v/>
      </c>
      <c r="B73">
        <f>A73+273.15</f>
        <v/>
      </c>
      <c r="C73">
        <f>EXP(-83144/(8.314*B73))</f>
        <v/>
      </c>
    </row>
    <row r="74">
      <c r="A74">
        <f>Chamber_A!B67</f>
        <v/>
      </c>
      <c r="B74">
        <f>A74+273.15</f>
        <v/>
      </c>
      <c r="C74">
        <f>EXP(-83144/(8.314*B74))</f>
        <v/>
      </c>
    </row>
    <row r="75">
      <c r="A75">
        <f>Chamber_A!B68</f>
        <v/>
      </c>
      <c r="B75">
        <f>A75+273.15</f>
        <v/>
      </c>
      <c r="C75">
        <f>EXP(-83144/(8.314*B75))</f>
        <v/>
      </c>
    </row>
    <row r="76">
      <c r="A76">
        <f>Chamber_A!B69</f>
        <v/>
      </c>
      <c r="B76">
        <f>A76+273.15</f>
        <v/>
      </c>
      <c r="C76">
        <f>EXP(-83144/(8.314*B76))</f>
        <v/>
      </c>
    </row>
    <row r="77">
      <c r="A77">
        <f>Chamber_A!B70</f>
        <v/>
      </c>
      <c r="B77">
        <f>A77+273.15</f>
        <v/>
      </c>
      <c r="C77">
        <f>EXP(-83144/(8.314*B77))</f>
        <v/>
      </c>
    </row>
    <row r="78">
      <c r="A78">
        <f>Chamber_A!B71</f>
        <v/>
      </c>
      <c r="B78">
        <f>A78+273.15</f>
        <v/>
      </c>
      <c r="C78">
        <f>EXP(-83144/(8.314*B78))</f>
        <v/>
      </c>
    </row>
    <row r="79">
      <c r="A79">
        <f>Chamber_A!B72</f>
        <v/>
      </c>
      <c r="B79">
        <f>A79+273.15</f>
        <v/>
      </c>
      <c r="C79">
        <f>EXP(-83144/(8.314*B79))</f>
        <v/>
      </c>
    </row>
    <row r="80">
      <c r="A80">
        <f>Chamber_A!B73</f>
        <v/>
      </c>
      <c r="B80">
        <f>A80+273.15</f>
        <v/>
      </c>
      <c r="C80">
        <f>EXP(-83144/(8.314*B80))</f>
        <v/>
      </c>
    </row>
    <row r="81">
      <c r="A81">
        <f>Chamber_A!B74</f>
        <v/>
      </c>
      <c r="B81">
        <f>A81+273.15</f>
        <v/>
      </c>
      <c r="C81">
        <f>EXP(-83144/(8.314*B81))</f>
        <v/>
      </c>
    </row>
    <row r="82">
      <c r="A82">
        <f>Chamber_A!B75</f>
        <v/>
      </c>
      <c r="B82">
        <f>A82+273.15</f>
        <v/>
      </c>
      <c r="C82">
        <f>EXP(-83144/(8.314*B82))</f>
        <v/>
      </c>
    </row>
    <row r="83">
      <c r="A83">
        <f>Chamber_A!B76</f>
        <v/>
      </c>
      <c r="B83">
        <f>A83+273.15</f>
        <v/>
      </c>
      <c r="C83">
        <f>EXP(-83144/(8.314*B83))</f>
        <v/>
      </c>
    </row>
    <row r="84">
      <c r="A84">
        <f>Chamber_A!B77</f>
        <v/>
      </c>
      <c r="B84">
        <f>A84+273.15</f>
        <v/>
      </c>
      <c r="C84">
        <f>EXP(-83144/(8.314*B84))</f>
        <v/>
      </c>
    </row>
    <row r="85">
      <c r="A85">
        <f>Chamber_A!B78</f>
        <v/>
      </c>
      <c r="B85">
        <f>A85+273.15</f>
        <v/>
      </c>
      <c r="C85">
        <f>EXP(-83144/(8.314*B85))</f>
        <v/>
      </c>
    </row>
    <row r="86">
      <c r="A86">
        <f>Chamber_A!B79</f>
        <v/>
      </c>
      <c r="B86">
        <f>A86+273.15</f>
        <v/>
      </c>
      <c r="C86">
        <f>EXP(-83144/(8.314*B86))</f>
        <v/>
      </c>
    </row>
    <row r="87">
      <c r="A87">
        <f>Chamber_A!B80</f>
        <v/>
      </c>
      <c r="B87">
        <f>A87+273.15</f>
        <v/>
      </c>
      <c r="C87">
        <f>EXP(-83144/(8.314*B87))</f>
        <v/>
      </c>
    </row>
    <row r="88">
      <c r="A88">
        <f>Chamber_A!B81</f>
        <v/>
      </c>
      <c r="B88">
        <f>A88+273.15</f>
        <v/>
      </c>
      <c r="C88">
        <f>EXP(-83144/(8.314*B88))</f>
        <v/>
      </c>
    </row>
    <row r="89">
      <c r="A89">
        <f>Chamber_A!B82</f>
        <v/>
      </c>
      <c r="B89">
        <f>A89+273.15</f>
        <v/>
      </c>
      <c r="C89">
        <f>EXP(-83144/(8.314*B89))</f>
        <v/>
      </c>
    </row>
    <row r="90">
      <c r="A90">
        <f>Chamber_A!B83</f>
        <v/>
      </c>
      <c r="B90">
        <f>A90+273.15</f>
        <v/>
      </c>
      <c r="C90">
        <f>EXP(-83144/(8.314*B90))</f>
        <v/>
      </c>
    </row>
    <row r="91">
      <c r="A91">
        <f>Chamber_A!B84</f>
        <v/>
      </c>
      <c r="B91">
        <f>A91+273.15</f>
        <v/>
      </c>
      <c r="C91">
        <f>EXP(-83144/(8.314*B91))</f>
        <v/>
      </c>
    </row>
    <row r="92">
      <c r="A92">
        <f>Chamber_A!B85</f>
        <v/>
      </c>
      <c r="B92">
        <f>A92+273.15</f>
        <v/>
      </c>
      <c r="C92">
        <f>EXP(-83144/(8.314*B92))</f>
        <v/>
      </c>
    </row>
    <row r="93">
      <c r="A93">
        <f>Chamber_A!B86</f>
        <v/>
      </c>
      <c r="B93">
        <f>A93+273.15</f>
        <v/>
      </c>
      <c r="C93">
        <f>EXP(-83144/(8.314*B93))</f>
        <v/>
      </c>
    </row>
    <row r="94">
      <c r="A94">
        <f>Chamber_A!B87</f>
        <v/>
      </c>
      <c r="B94">
        <f>A94+273.15</f>
        <v/>
      </c>
      <c r="C94">
        <f>EXP(-83144/(8.314*B94))</f>
        <v/>
      </c>
    </row>
    <row r="95">
      <c r="A95">
        <f>Chamber_A!B88</f>
        <v/>
      </c>
      <c r="B95">
        <f>A95+273.15</f>
        <v/>
      </c>
      <c r="C95">
        <f>EXP(-83144/(8.314*B95))</f>
        <v/>
      </c>
    </row>
    <row r="96">
      <c r="A96">
        <f>Chamber_A!B89</f>
        <v/>
      </c>
      <c r="B96">
        <f>A96+273.15</f>
        <v/>
      </c>
      <c r="C96">
        <f>EXP(-83144/(8.314*B96))</f>
        <v/>
      </c>
    </row>
    <row r="97">
      <c r="A97">
        <f>Chamber_A!B90</f>
        <v/>
      </c>
      <c r="B97">
        <f>A97+273.15</f>
        <v/>
      </c>
      <c r="C97">
        <f>EXP(-83144/(8.314*B97))</f>
        <v/>
      </c>
    </row>
    <row r="98">
      <c r="A98">
        <f>Chamber_A!B91</f>
        <v/>
      </c>
      <c r="B98">
        <f>A98+273.15</f>
        <v/>
      </c>
      <c r="C98">
        <f>EXP(-83144/(8.314*B98))</f>
        <v/>
      </c>
    </row>
    <row r="99">
      <c r="A99">
        <f>Chamber_A!B92</f>
        <v/>
      </c>
      <c r="B99">
        <f>A99+273.15</f>
        <v/>
      </c>
      <c r="C99">
        <f>EXP(-83144/(8.314*B99))</f>
        <v/>
      </c>
    </row>
    <row r="100">
      <c r="A100">
        <f>Chamber_A!B93</f>
        <v/>
      </c>
      <c r="B100">
        <f>A100+273.15</f>
        <v/>
      </c>
      <c r="C100">
        <f>EXP(-83144/(8.314*B100))</f>
        <v/>
      </c>
    </row>
    <row r="101">
      <c r="A101">
        <f>Chamber_A!B94</f>
        <v/>
      </c>
      <c r="B101">
        <f>A101+273.15</f>
        <v/>
      </c>
      <c r="C101">
        <f>EXP(-83144/(8.314*B101))</f>
        <v/>
      </c>
    </row>
    <row r="102">
      <c r="A102">
        <f>Chamber_A!B95</f>
        <v/>
      </c>
      <c r="B102">
        <f>A102+273.15</f>
        <v/>
      </c>
      <c r="C102">
        <f>EXP(-83144/(8.314*B102))</f>
        <v/>
      </c>
    </row>
    <row r="103">
      <c r="A103">
        <f>Chamber_A!B96</f>
        <v/>
      </c>
      <c r="B103">
        <f>A103+273.15</f>
        <v/>
      </c>
      <c r="C103">
        <f>EXP(-83144/(8.314*B103))</f>
        <v/>
      </c>
    </row>
    <row r="104">
      <c r="A104">
        <f>Chamber_A!B97</f>
        <v/>
      </c>
      <c r="B104">
        <f>A104+273.15</f>
        <v/>
      </c>
      <c r="C104">
        <f>EXP(-83144/(8.314*B104))</f>
        <v/>
      </c>
    </row>
    <row r="105">
      <c r="A105">
        <f>Chamber_A!B98</f>
        <v/>
      </c>
      <c r="B105">
        <f>A105+273.15</f>
        <v/>
      </c>
      <c r="C105">
        <f>EXP(-83144/(8.314*B105))</f>
        <v/>
      </c>
    </row>
    <row r="106">
      <c r="A106">
        <f>Chamber_A!B99</f>
        <v/>
      </c>
      <c r="B106">
        <f>A106+273.15</f>
        <v/>
      </c>
      <c r="C106">
        <f>EXP(-83144/(8.314*B106))</f>
        <v/>
      </c>
    </row>
    <row r="107">
      <c r="A107">
        <f>Chamber_A!B100</f>
        <v/>
      </c>
      <c r="B107">
        <f>A107+273.15</f>
        <v/>
      </c>
      <c r="C107">
        <f>EXP(-83144/(8.314*B107))</f>
        <v/>
      </c>
    </row>
    <row r="108">
      <c r="A108">
        <f>Chamber_A!B101</f>
        <v/>
      </c>
      <c r="B108">
        <f>A108+273.15</f>
        <v/>
      </c>
      <c r="C108">
        <f>EXP(-83144/(8.314*B108))</f>
        <v/>
      </c>
    </row>
    <row r="109">
      <c r="A109">
        <f>Chamber_A!B102</f>
        <v/>
      </c>
      <c r="B109">
        <f>A109+273.15</f>
        <v/>
      </c>
      <c r="C109">
        <f>EXP(-83144/(8.314*B109))</f>
        <v/>
      </c>
    </row>
    <row r="110">
      <c r="A110">
        <f>Chamber_A!B103</f>
        <v/>
      </c>
      <c r="B110">
        <f>A110+273.15</f>
        <v/>
      </c>
      <c r="C110">
        <f>EXP(-83144/(8.314*B110))</f>
        <v/>
      </c>
    </row>
    <row r="111">
      <c r="A111">
        <f>Chamber_A!B104</f>
        <v/>
      </c>
      <c r="B111">
        <f>A111+273.15</f>
        <v/>
      </c>
      <c r="C111">
        <f>EXP(-83144/(8.314*B111))</f>
        <v/>
      </c>
    </row>
    <row r="112">
      <c r="A112">
        <f>Chamber_A!B105</f>
        <v/>
      </c>
      <c r="B112">
        <f>A112+273.15</f>
        <v/>
      </c>
      <c r="C112">
        <f>EXP(-83144/(8.314*B112))</f>
        <v/>
      </c>
    </row>
    <row r="113">
      <c r="A113">
        <f>Chamber_A!B106</f>
        <v/>
      </c>
      <c r="B113">
        <f>A113+273.15</f>
        <v/>
      </c>
      <c r="C113">
        <f>EXP(-83144/(8.314*B113))</f>
        <v/>
      </c>
    </row>
    <row r="114">
      <c r="A114">
        <f>Chamber_A!B107</f>
        <v/>
      </c>
      <c r="B114">
        <f>A114+273.15</f>
        <v/>
      </c>
      <c r="C114">
        <f>EXP(-83144/(8.314*B114))</f>
        <v/>
      </c>
    </row>
    <row r="115">
      <c r="A115">
        <f>Chamber_A!B108</f>
        <v/>
      </c>
      <c r="B115">
        <f>A115+273.15</f>
        <v/>
      </c>
      <c r="C115">
        <f>EXP(-83144/(8.314*B115))</f>
        <v/>
      </c>
    </row>
    <row r="116">
      <c r="A116">
        <f>Chamber_A!B109</f>
        <v/>
      </c>
      <c r="B116">
        <f>A116+273.15</f>
        <v/>
      </c>
      <c r="C116">
        <f>EXP(-83144/(8.314*B116))</f>
        <v/>
      </c>
    </row>
    <row r="117">
      <c r="A117">
        <f>Chamber_A!B110</f>
        <v/>
      </c>
      <c r="B117">
        <f>A117+273.15</f>
        <v/>
      </c>
      <c r="C117">
        <f>EXP(-83144/(8.314*B117))</f>
        <v/>
      </c>
    </row>
    <row r="118">
      <c r="A118">
        <f>Chamber_A!B111</f>
        <v/>
      </c>
      <c r="B118">
        <f>A118+273.15</f>
        <v/>
      </c>
      <c r="C118">
        <f>EXP(-83144/(8.314*B118))</f>
        <v/>
      </c>
    </row>
    <row r="119">
      <c r="A119">
        <f>Chamber_A!B112</f>
        <v/>
      </c>
      <c r="B119">
        <f>A119+273.15</f>
        <v/>
      </c>
      <c r="C119">
        <f>EXP(-83144/(8.314*B119))</f>
        <v/>
      </c>
    </row>
    <row r="120">
      <c r="A120">
        <f>Chamber_A!B113</f>
        <v/>
      </c>
      <c r="B120">
        <f>A120+273.15</f>
        <v/>
      </c>
      <c r="C120">
        <f>EXP(-83144/(8.314*B120))</f>
        <v/>
      </c>
    </row>
    <row r="121">
      <c r="A121">
        <f>Chamber_A!B114</f>
        <v/>
      </c>
      <c r="B121">
        <f>A121+273.15</f>
        <v/>
      </c>
      <c r="C121">
        <f>EXP(-83144/(8.314*B121))</f>
        <v/>
      </c>
    </row>
    <row r="122">
      <c r="A122">
        <f>Chamber_A!B115</f>
        <v/>
      </c>
      <c r="B122">
        <f>A122+273.15</f>
        <v/>
      </c>
      <c r="C122">
        <f>EXP(-83144/(8.314*B122))</f>
        <v/>
      </c>
    </row>
    <row r="123">
      <c r="A123">
        <f>Chamber_A!B116</f>
        <v/>
      </c>
      <c r="B123">
        <f>A123+273.15</f>
        <v/>
      </c>
      <c r="C123">
        <f>EXP(-83144/(8.314*B123))</f>
        <v/>
      </c>
    </row>
    <row r="124">
      <c r="A124">
        <f>Chamber_A!B117</f>
        <v/>
      </c>
      <c r="B124">
        <f>A124+273.15</f>
        <v/>
      </c>
      <c r="C124">
        <f>EXP(-83144/(8.314*B124))</f>
        <v/>
      </c>
    </row>
    <row r="125">
      <c r="A125">
        <f>Chamber_A!B118</f>
        <v/>
      </c>
      <c r="B125">
        <f>A125+273.15</f>
        <v/>
      </c>
      <c r="C125">
        <f>EXP(-83144/(8.314*B125))</f>
        <v/>
      </c>
    </row>
    <row r="126">
      <c r="A126">
        <f>Chamber_A!B119</f>
        <v/>
      </c>
      <c r="B126">
        <f>A126+273.15</f>
        <v/>
      </c>
      <c r="C126">
        <f>EXP(-83144/(8.314*B126))</f>
        <v/>
      </c>
    </row>
    <row r="127">
      <c r="A127">
        <f>Chamber_A!B120</f>
        <v/>
      </c>
      <c r="B127">
        <f>A127+273.15</f>
        <v/>
      </c>
      <c r="C127">
        <f>EXP(-83144/(8.314*B127))</f>
        <v/>
      </c>
    </row>
    <row r="128">
      <c r="A128">
        <f>Chamber_A!B121</f>
        <v/>
      </c>
      <c r="B128">
        <f>A128+273.15</f>
        <v/>
      </c>
      <c r="C128">
        <f>EXP(-83144/(8.314*B128))</f>
        <v/>
      </c>
    </row>
    <row r="129">
      <c r="A129">
        <f>Chamber_A!B122</f>
        <v/>
      </c>
      <c r="B129">
        <f>A129+273.15</f>
        <v/>
      </c>
      <c r="C129">
        <f>EXP(-83144/(8.314*B129))</f>
        <v/>
      </c>
    </row>
    <row r="130">
      <c r="A130">
        <f>Chamber_A!B123</f>
        <v/>
      </c>
      <c r="B130">
        <f>A130+273.15</f>
        <v/>
      </c>
      <c r="C130">
        <f>EXP(-83144/(8.314*B130))</f>
        <v/>
      </c>
    </row>
    <row r="131">
      <c r="A131">
        <f>Chamber_A!B124</f>
        <v/>
      </c>
      <c r="B131">
        <f>A131+273.15</f>
        <v/>
      </c>
      <c r="C131">
        <f>EXP(-83144/(8.314*B131))</f>
        <v/>
      </c>
    </row>
    <row r="132">
      <c r="A132">
        <f>Chamber_A!B125</f>
        <v/>
      </c>
      <c r="B132">
        <f>A132+273.15</f>
        <v/>
      </c>
      <c r="C132">
        <f>EXP(-83144/(8.314*B132))</f>
        <v/>
      </c>
    </row>
    <row r="133">
      <c r="A133">
        <f>Chamber_A!B126</f>
        <v/>
      </c>
      <c r="B133">
        <f>A133+273.15</f>
        <v/>
      </c>
      <c r="C133">
        <f>EXP(-83144/(8.314*B133))</f>
        <v/>
      </c>
    </row>
    <row r="134">
      <c r="A134">
        <f>Chamber_A!B127</f>
        <v/>
      </c>
      <c r="B134">
        <f>A134+273.15</f>
        <v/>
      </c>
      <c r="C134">
        <f>EXP(-83144/(8.314*B134))</f>
        <v/>
      </c>
    </row>
    <row r="135">
      <c r="A135">
        <f>Chamber_A!B128</f>
        <v/>
      </c>
      <c r="B135">
        <f>A135+273.15</f>
        <v/>
      </c>
      <c r="C135">
        <f>EXP(-83144/(8.314*B135))</f>
        <v/>
      </c>
    </row>
    <row r="136">
      <c r="A136">
        <f>Chamber_A!B129</f>
        <v/>
      </c>
      <c r="B136">
        <f>A136+273.15</f>
        <v/>
      </c>
      <c r="C136">
        <f>EXP(-83144/(8.314*B136))</f>
        <v/>
      </c>
    </row>
    <row r="137">
      <c r="A137">
        <f>Chamber_A!B130</f>
        <v/>
      </c>
      <c r="B137">
        <f>A137+273.15</f>
        <v/>
      </c>
      <c r="C137">
        <f>EXP(-83144/(8.314*B137))</f>
        <v/>
      </c>
    </row>
    <row r="138">
      <c r="A138">
        <f>Chamber_A!B131</f>
        <v/>
      </c>
      <c r="B138">
        <f>A138+273.15</f>
        <v/>
      </c>
      <c r="C138">
        <f>EXP(-83144/(8.314*B138))</f>
        <v/>
      </c>
    </row>
    <row r="139">
      <c r="A139">
        <f>Chamber_A!B132</f>
        <v/>
      </c>
      <c r="B139">
        <f>A139+273.15</f>
        <v/>
      </c>
      <c r="C139">
        <f>EXP(-83144/(8.314*B139))</f>
        <v/>
      </c>
    </row>
    <row r="140">
      <c r="A140">
        <f>Chamber_A!B133</f>
        <v/>
      </c>
      <c r="B140">
        <f>A140+273.15</f>
        <v/>
      </c>
      <c r="C140">
        <f>EXP(-83144/(8.314*B140))</f>
        <v/>
      </c>
    </row>
    <row r="141">
      <c r="A141">
        <f>Chamber_A!B134</f>
        <v/>
      </c>
      <c r="B141">
        <f>A141+273.15</f>
        <v/>
      </c>
      <c r="C141">
        <f>EXP(-83144/(8.314*B141))</f>
        <v/>
      </c>
    </row>
    <row r="142">
      <c r="A142">
        <f>Chamber_A!B135</f>
        <v/>
      </c>
      <c r="B142">
        <f>A142+273.15</f>
        <v/>
      </c>
      <c r="C142">
        <f>EXP(-83144/(8.314*B142))</f>
        <v/>
      </c>
    </row>
    <row r="143">
      <c r="A143">
        <f>Chamber_A!B136</f>
        <v/>
      </c>
      <c r="B143">
        <f>A143+273.15</f>
        <v/>
      </c>
      <c r="C143">
        <f>EXP(-83144/(8.314*B143))</f>
        <v/>
      </c>
    </row>
    <row r="144">
      <c r="A144">
        <f>Chamber_A!B137</f>
        <v/>
      </c>
      <c r="B144">
        <f>A144+273.15</f>
        <v/>
      </c>
      <c r="C144">
        <f>EXP(-83144/(8.314*B144))</f>
        <v/>
      </c>
    </row>
    <row r="145">
      <c r="A145">
        <f>Chamber_A!B138</f>
        <v/>
      </c>
      <c r="B145">
        <f>A145+273.15</f>
        <v/>
      </c>
      <c r="C145">
        <f>EXP(-83144/(8.314*B145))</f>
        <v/>
      </c>
    </row>
    <row r="146">
      <c r="A146">
        <f>Chamber_A!B139</f>
        <v/>
      </c>
      <c r="B146">
        <f>A146+273.15</f>
        <v/>
      </c>
      <c r="C146">
        <f>EXP(-83144/(8.314*B146))</f>
        <v/>
      </c>
    </row>
    <row r="147">
      <c r="A147">
        <f>Chamber_A!B140</f>
        <v/>
      </c>
      <c r="B147">
        <f>A147+273.15</f>
        <v/>
      </c>
      <c r="C147">
        <f>EXP(-83144/(8.314*B147))</f>
        <v/>
      </c>
    </row>
    <row r="148">
      <c r="A148">
        <f>Chamber_A!B141</f>
        <v/>
      </c>
      <c r="B148">
        <f>A148+273.15</f>
        <v/>
      </c>
      <c r="C148">
        <f>EXP(-83144/(8.314*B148))</f>
        <v/>
      </c>
    </row>
    <row r="149">
      <c r="A149">
        <f>Chamber_A!B142</f>
        <v/>
      </c>
      <c r="B149">
        <f>A149+273.15</f>
        <v/>
      </c>
      <c r="C149">
        <f>EXP(-83144/(8.314*B149))</f>
        <v/>
      </c>
    </row>
    <row r="150">
      <c r="A150">
        <f>Chamber_A!B143</f>
        <v/>
      </c>
      <c r="B150">
        <f>A150+273.15</f>
        <v/>
      </c>
      <c r="C150">
        <f>EXP(-83144/(8.314*B150))</f>
        <v/>
      </c>
    </row>
    <row r="151">
      <c r="A151">
        <f>Chamber_A!B144</f>
        <v/>
      </c>
      <c r="B151">
        <f>A151+273.15</f>
        <v/>
      </c>
      <c r="C151">
        <f>EXP(-83144/(8.314*B151))</f>
        <v/>
      </c>
    </row>
    <row r="152">
      <c r="A152">
        <f>Chamber_A!B145</f>
        <v/>
      </c>
      <c r="B152">
        <f>A152+273.15</f>
        <v/>
      </c>
      <c r="C152">
        <f>EXP(-83144/(8.314*B152))</f>
        <v/>
      </c>
    </row>
    <row r="153">
      <c r="A153">
        <f>Chamber_A!B146</f>
        <v/>
      </c>
      <c r="B153">
        <f>A153+273.15</f>
        <v/>
      </c>
      <c r="C153">
        <f>EXP(-83144/(8.314*B153))</f>
        <v/>
      </c>
    </row>
    <row r="154">
      <c r="A154">
        <f>Chamber_A!B147</f>
        <v/>
      </c>
      <c r="B154">
        <f>A154+273.15</f>
        <v/>
      </c>
      <c r="C154">
        <f>EXP(-83144/(8.314*B154))</f>
        <v/>
      </c>
    </row>
    <row r="155">
      <c r="A155">
        <f>Chamber_A!B148</f>
        <v/>
      </c>
      <c r="B155">
        <f>A155+273.15</f>
        <v/>
      </c>
      <c r="C155">
        <f>EXP(-83144/(8.314*B155))</f>
        <v/>
      </c>
    </row>
    <row r="156">
      <c r="A156">
        <f>Chamber_A!B149</f>
        <v/>
      </c>
      <c r="B156">
        <f>A156+273.15</f>
        <v/>
      </c>
      <c r="C156">
        <f>EXP(-83144/(8.314*B156))</f>
        <v/>
      </c>
    </row>
    <row r="157">
      <c r="A157">
        <f>Chamber_A!B150</f>
        <v/>
      </c>
      <c r="B157">
        <f>A157+273.15</f>
        <v/>
      </c>
      <c r="C157">
        <f>EXP(-83144/(8.314*B157))</f>
        <v/>
      </c>
    </row>
    <row r="158">
      <c r="A158">
        <f>Chamber_A!B151</f>
        <v/>
      </c>
      <c r="B158">
        <f>A158+273.15</f>
        <v/>
      </c>
      <c r="C158">
        <f>EXP(-83144/(8.314*B158))</f>
        <v/>
      </c>
    </row>
    <row r="159">
      <c r="A159">
        <f>Chamber_A!B152</f>
        <v/>
      </c>
      <c r="B159">
        <f>A159+273.15</f>
        <v/>
      </c>
      <c r="C159">
        <f>EXP(-83144/(8.314*B159))</f>
        <v/>
      </c>
    </row>
    <row r="160">
      <c r="A160">
        <f>Chamber_A!B153</f>
        <v/>
      </c>
      <c r="B160">
        <f>A160+273.15</f>
        <v/>
      </c>
      <c r="C160">
        <f>EXP(-83144/(8.314*B160))</f>
        <v/>
      </c>
    </row>
    <row r="161">
      <c r="A161">
        <f>Chamber_A!B154</f>
        <v/>
      </c>
      <c r="B161">
        <f>A161+273.15</f>
        <v/>
      </c>
      <c r="C161">
        <f>EXP(-83144/(8.314*B161))</f>
        <v/>
      </c>
    </row>
    <row r="162">
      <c r="A162">
        <f>Chamber_A!B155</f>
        <v/>
      </c>
      <c r="B162">
        <f>A162+273.15</f>
        <v/>
      </c>
      <c r="C162">
        <f>EXP(-83144/(8.314*B162))</f>
        <v/>
      </c>
    </row>
    <row r="163">
      <c r="A163">
        <f>Chamber_A!B156</f>
        <v/>
      </c>
      <c r="B163">
        <f>A163+273.15</f>
        <v/>
      </c>
      <c r="C163">
        <f>EXP(-83144/(8.314*B163))</f>
        <v/>
      </c>
    </row>
    <row r="164">
      <c r="A164">
        <f>Chamber_A!B157</f>
        <v/>
      </c>
      <c r="B164">
        <f>A164+273.15</f>
        <v/>
      </c>
      <c r="C164">
        <f>EXP(-83144/(8.314*B164))</f>
        <v/>
      </c>
    </row>
    <row r="165">
      <c r="A165">
        <f>Chamber_A!B158</f>
        <v/>
      </c>
      <c r="B165">
        <f>A165+273.15</f>
        <v/>
      </c>
      <c r="C165">
        <f>EXP(-83144/(8.314*B165))</f>
        <v/>
      </c>
    </row>
    <row r="166">
      <c r="A166">
        <f>Chamber_A!B159</f>
        <v/>
      </c>
      <c r="B166">
        <f>A166+273.15</f>
        <v/>
      </c>
      <c r="C166">
        <f>EXP(-83144/(8.314*B166))</f>
        <v/>
      </c>
    </row>
    <row r="167">
      <c r="A167">
        <f>Chamber_A!B160</f>
        <v/>
      </c>
      <c r="B167">
        <f>A167+273.15</f>
        <v/>
      </c>
      <c r="C167">
        <f>EXP(-83144/(8.314*B167))</f>
        <v/>
      </c>
    </row>
    <row r="168">
      <c r="A168">
        <f>Chamber_A!B161</f>
        <v/>
      </c>
      <c r="B168">
        <f>A168+273.15</f>
        <v/>
      </c>
      <c r="C168">
        <f>EXP(-83144/(8.314*B168))</f>
        <v/>
      </c>
    </row>
    <row r="169">
      <c r="A169">
        <f>Chamber_A!B162</f>
        <v/>
      </c>
      <c r="B169">
        <f>A169+273.15</f>
        <v/>
      </c>
      <c r="C169">
        <f>EXP(-83144/(8.314*B169))</f>
        <v/>
      </c>
    </row>
    <row r="170">
      <c r="A170">
        <f>Chamber_A!B163</f>
        <v/>
      </c>
      <c r="B170">
        <f>A170+273.15</f>
        <v/>
      </c>
      <c r="C170">
        <f>EXP(-83144/(8.314*B170))</f>
        <v/>
      </c>
    </row>
    <row r="171">
      <c r="A171">
        <f>Chamber_A!B164</f>
        <v/>
      </c>
      <c r="B171">
        <f>A171+273.15</f>
        <v/>
      </c>
      <c r="C171">
        <f>EXP(-83144/(8.314*B171))</f>
        <v/>
      </c>
    </row>
    <row r="172">
      <c r="A172">
        <f>Chamber_A!B165</f>
        <v/>
      </c>
      <c r="B172">
        <f>A172+273.15</f>
        <v/>
      </c>
      <c r="C172">
        <f>EXP(-83144/(8.314*B172))</f>
        <v/>
      </c>
    </row>
    <row r="173">
      <c r="A173">
        <f>Chamber_A!B166</f>
        <v/>
      </c>
      <c r="B173">
        <f>A173+273.15</f>
        <v/>
      </c>
      <c r="C173">
        <f>EXP(-83144/(8.314*B173))</f>
        <v/>
      </c>
    </row>
    <row r="174">
      <c r="A174">
        <f>Chamber_A!B167</f>
        <v/>
      </c>
      <c r="B174">
        <f>A174+273.15</f>
        <v/>
      </c>
      <c r="C174">
        <f>EXP(-83144/(8.314*B174))</f>
        <v/>
      </c>
    </row>
    <row r="175">
      <c r="A175">
        <f>Chamber_A!B168</f>
        <v/>
      </c>
      <c r="B175">
        <f>A175+273.15</f>
        <v/>
      </c>
      <c r="C175">
        <f>EXP(-83144/(8.314*B175))</f>
        <v/>
      </c>
    </row>
    <row r="176">
      <c r="A176">
        <f>Chamber_A!B169</f>
        <v/>
      </c>
      <c r="B176">
        <f>A176+273.15</f>
        <v/>
      </c>
      <c r="C176">
        <f>EXP(-83144/(8.314*B176))</f>
        <v/>
      </c>
    </row>
    <row r="177">
      <c r="A177">
        <f>Chamber_A!B170</f>
        <v/>
      </c>
      <c r="B177">
        <f>A177+273.15</f>
        <v/>
      </c>
      <c r="C177">
        <f>EXP(-83144/(8.314*B177))</f>
        <v/>
      </c>
    </row>
    <row r="178">
      <c r="A178">
        <f>Chamber_A!B171</f>
        <v/>
      </c>
      <c r="B178">
        <f>A178+273.15</f>
        <v/>
      </c>
      <c r="C178">
        <f>EXP(-83144/(8.314*B178))</f>
        <v/>
      </c>
    </row>
    <row r="179">
      <c r="A179">
        <f>Chamber_A!B172</f>
        <v/>
      </c>
      <c r="B179">
        <f>A179+273.15</f>
        <v/>
      </c>
      <c r="C179">
        <f>EXP(-83144/(8.314*B179))</f>
        <v/>
      </c>
    </row>
    <row r="180">
      <c r="A180">
        <f>Chamber_A!B173</f>
        <v/>
      </c>
      <c r="B180">
        <f>A180+273.15</f>
        <v/>
      </c>
      <c r="C180">
        <f>EXP(-83144/(8.314*B180))</f>
        <v/>
      </c>
    </row>
    <row r="181">
      <c r="A181">
        <f>Chamber_A!B174</f>
        <v/>
      </c>
      <c r="B181">
        <f>A181+273.15</f>
        <v/>
      </c>
      <c r="C181">
        <f>EXP(-83144/(8.314*B181))</f>
        <v/>
      </c>
    </row>
    <row r="182">
      <c r="A182">
        <f>Chamber_A!B175</f>
        <v/>
      </c>
      <c r="B182">
        <f>A182+273.15</f>
        <v/>
      </c>
      <c r="C182">
        <f>EXP(-83144/(8.314*B182))</f>
        <v/>
      </c>
    </row>
    <row r="183">
      <c r="A183">
        <f>Chamber_A!B176</f>
        <v/>
      </c>
      <c r="B183">
        <f>A183+273.15</f>
        <v/>
      </c>
      <c r="C183">
        <f>EXP(-83144/(8.314*B183))</f>
        <v/>
      </c>
    </row>
    <row r="184">
      <c r="A184">
        <f>Chamber_A!B177</f>
        <v/>
      </c>
      <c r="B184">
        <f>A184+273.15</f>
        <v/>
      </c>
      <c r="C184">
        <f>EXP(-83144/(8.314*B184))</f>
        <v/>
      </c>
    </row>
    <row r="185">
      <c r="A185">
        <f>Chamber_A!B178</f>
        <v/>
      </c>
      <c r="B185">
        <f>A185+273.15</f>
        <v/>
      </c>
      <c r="C185">
        <f>EXP(-83144/(8.314*B185))</f>
        <v/>
      </c>
    </row>
    <row r="186">
      <c r="A186">
        <f>Chamber_A!B179</f>
        <v/>
      </c>
      <c r="B186">
        <f>A186+273.15</f>
        <v/>
      </c>
      <c r="C186">
        <f>EXP(-83144/(8.314*B186))</f>
        <v/>
      </c>
    </row>
    <row r="187">
      <c r="A187">
        <f>Chamber_A!B180</f>
        <v/>
      </c>
      <c r="B187">
        <f>A187+273.15</f>
        <v/>
      </c>
      <c r="C187">
        <f>EXP(-83144/(8.314*B187))</f>
        <v/>
      </c>
    </row>
    <row r="188">
      <c r="A188">
        <f>Chamber_A!B181</f>
        <v/>
      </c>
      <c r="B188">
        <f>A188+273.15</f>
        <v/>
      </c>
      <c r="C188">
        <f>EXP(-83144/(8.314*B188))</f>
        <v/>
      </c>
    </row>
    <row r="189">
      <c r="A189">
        <f>Chamber_A!B182</f>
        <v/>
      </c>
      <c r="B189">
        <f>A189+273.15</f>
        <v/>
      </c>
      <c r="C189">
        <f>EXP(-83144/(8.314*B189))</f>
        <v/>
      </c>
    </row>
    <row r="190">
      <c r="A190">
        <f>Chamber_A!B183</f>
        <v/>
      </c>
      <c r="B190">
        <f>A190+273.15</f>
        <v/>
      </c>
      <c r="C190">
        <f>EXP(-83144/(8.314*B190))</f>
        <v/>
      </c>
    </row>
    <row r="191">
      <c r="A191">
        <f>Chamber_A!B184</f>
        <v/>
      </c>
      <c r="B191">
        <f>A191+273.15</f>
        <v/>
      </c>
      <c r="C191">
        <f>EXP(-83144/(8.314*B191))</f>
        <v/>
      </c>
    </row>
    <row r="192">
      <c r="A192">
        <f>Chamber_A!B185</f>
        <v/>
      </c>
      <c r="B192">
        <f>A192+273.15</f>
        <v/>
      </c>
      <c r="C192">
        <f>EXP(-83144/(8.314*B192))</f>
        <v/>
      </c>
    </row>
    <row r="193">
      <c r="A193">
        <f>Chamber_A!B186</f>
        <v/>
      </c>
      <c r="B193">
        <f>A193+273.15</f>
        <v/>
      </c>
      <c r="C193">
        <f>EXP(-83144/(8.314*B193))</f>
        <v/>
      </c>
    </row>
    <row r="194">
      <c r="A194">
        <f>Chamber_A!B187</f>
        <v/>
      </c>
      <c r="B194">
        <f>A194+273.15</f>
        <v/>
      </c>
      <c r="C194">
        <f>EXP(-83144/(8.314*B194))</f>
        <v/>
      </c>
    </row>
    <row r="195">
      <c r="A195">
        <f>Chamber_A!B188</f>
        <v/>
      </c>
      <c r="B195">
        <f>A195+273.15</f>
        <v/>
      </c>
      <c r="C195">
        <f>EXP(-83144/(8.314*B195))</f>
        <v/>
      </c>
    </row>
    <row r="196">
      <c r="A196">
        <f>Chamber_A!B189</f>
        <v/>
      </c>
      <c r="B196">
        <f>A196+273.15</f>
        <v/>
      </c>
      <c r="C196">
        <f>EXP(-83144/(8.314*B196))</f>
        <v/>
      </c>
    </row>
    <row r="197">
      <c r="A197">
        <f>Chamber_A!B190</f>
        <v/>
      </c>
      <c r="B197">
        <f>A197+273.15</f>
        <v/>
      </c>
      <c r="C197">
        <f>EXP(-83144/(8.314*B197))</f>
        <v/>
      </c>
    </row>
    <row r="198">
      <c r="A198">
        <f>Chamber_A!B191</f>
        <v/>
      </c>
      <c r="B198">
        <f>A198+273.15</f>
        <v/>
      </c>
      <c r="C198">
        <f>EXP(-83144/(8.314*B198))</f>
        <v/>
      </c>
    </row>
    <row r="199">
      <c r="A199">
        <f>Chamber_A!B192</f>
        <v/>
      </c>
      <c r="B199">
        <f>A199+273.15</f>
        <v/>
      </c>
      <c r="C199">
        <f>EXP(-83144/(8.314*B199))</f>
        <v/>
      </c>
    </row>
    <row r="200">
      <c r="A200">
        <f>Chamber_A!B193</f>
        <v/>
      </c>
      <c r="B200">
        <f>A200+273.15</f>
        <v/>
      </c>
      <c r="C200">
        <f>EXP(-83144/(8.314*B200))</f>
        <v/>
      </c>
    </row>
    <row r="201">
      <c r="A201">
        <f>Chamber_A!B194</f>
        <v/>
      </c>
      <c r="B201">
        <f>A201+273.15</f>
        <v/>
      </c>
      <c r="C201">
        <f>EXP(-83144/(8.314*B201))</f>
        <v/>
      </c>
    </row>
    <row r="202">
      <c r="A202">
        <f>Chamber_A!B195</f>
        <v/>
      </c>
      <c r="B202">
        <f>A202+273.15</f>
        <v/>
      </c>
      <c r="C202">
        <f>EXP(-83144/(8.314*B202))</f>
        <v/>
      </c>
    </row>
    <row r="203">
      <c r="A203">
        <f>Chamber_A!B196</f>
        <v/>
      </c>
      <c r="B203">
        <f>A203+273.15</f>
        <v/>
      </c>
      <c r="C203">
        <f>EXP(-83144/(8.314*B203))</f>
        <v/>
      </c>
    </row>
    <row r="204">
      <c r="A204">
        <f>Chamber_A!B197</f>
        <v/>
      </c>
      <c r="B204">
        <f>A204+273.15</f>
        <v/>
      </c>
      <c r="C204">
        <f>EXP(-83144/(8.314*B204))</f>
        <v/>
      </c>
    </row>
    <row r="205">
      <c r="A205">
        <f>Chamber_A!B198</f>
        <v/>
      </c>
      <c r="B205">
        <f>A205+273.15</f>
        <v/>
      </c>
      <c r="C205">
        <f>EXP(-83144/(8.314*B205))</f>
        <v/>
      </c>
    </row>
    <row r="206">
      <c r="A206">
        <f>Chamber_A!B199</f>
        <v/>
      </c>
      <c r="B206">
        <f>A206+273.15</f>
        <v/>
      </c>
      <c r="C206">
        <f>EXP(-83144/(8.314*B206))</f>
        <v/>
      </c>
    </row>
    <row r="207">
      <c r="A207">
        <f>Chamber_A!B200</f>
        <v/>
      </c>
      <c r="B207">
        <f>A207+273.15</f>
        <v/>
      </c>
      <c r="C207">
        <f>EXP(-83144/(8.314*B207))</f>
        <v/>
      </c>
    </row>
    <row r="208">
      <c r="A208">
        <f>Chamber_A!B201</f>
        <v/>
      </c>
      <c r="B208">
        <f>A208+273.15</f>
        <v/>
      </c>
      <c r="C208">
        <f>EXP(-83144/(8.314*B208))</f>
        <v/>
      </c>
    </row>
    <row r="209">
      <c r="A209">
        <f>Chamber_A!B202</f>
        <v/>
      </c>
      <c r="B209">
        <f>A209+273.15</f>
        <v/>
      </c>
      <c r="C209">
        <f>EXP(-83144/(8.314*B209))</f>
        <v/>
      </c>
    </row>
    <row r="210">
      <c r="A210">
        <f>Chamber_A!B203</f>
        <v/>
      </c>
      <c r="B210">
        <f>A210+273.15</f>
        <v/>
      </c>
      <c r="C210">
        <f>EXP(-83144/(8.314*B210))</f>
        <v/>
      </c>
    </row>
    <row r="211">
      <c r="A211">
        <f>Chamber_A!B204</f>
        <v/>
      </c>
      <c r="B211">
        <f>A211+273.15</f>
        <v/>
      </c>
      <c r="C211">
        <f>EXP(-83144/(8.314*B211))</f>
        <v/>
      </c>
    </row>
    <row r="212">
      <c r="A212">
        <f>Chamber_A!B205</f>
        <v/>
      </c>
      <c r="B212">
        <f>A212+273.15</f>
        <v/>
      </c>
      <c r="C212">
        <f>EXP(-83144/(8.314*B212))</f>
        <v/>
      </c>
    </row>
    <row r="213">
      <c r="A213">
        <f>Chamber_A!B206</f>
        <v/>
      </c>
      <c r="B213">
        <f>A213+273.15</f>
        <v/>
      </c>
      <c r="C213">
        <f>EXP(-83144/(8.314*B213))</f>
        <v/>
      </c>
    </row>
    <row r="214">
      <c r="A214">
        <f>Chamber_A!B207</f>
        <v/>
      </c>
      <c r="B214">
        <f>A214+273.15</f>
        <v/>
      </c>
      <c r="C214">
        <f>EXP(-83144/(8.314*B214))</f>
        <v/>
      </c>
    </row>
    <row r="215">
      <c r="A215">
        <f>Chamber_A!B208</f>
        <v/>
      </c>
      <c r="B215">
        <f>A215+273.15</f>
        <v/>
      </c>
      <c r="C215">
        <f>EXP(-83144/(8.314*B215))</f>
        <v/>
      </c>
    </row>
    <row r="216">
      <c r="A216">
        <f>Chamber_A!B209</f>
        <v/>
      </c>
      <c r="B216">
        <f>A216+273.15</f>
        <v/>
      </c>
      <c r="C216">
        <f>EXP(-83144/(8.314*B216))</f>
        <v/>
      </c>
    </row>
    <row r="217">
      <c r="A217">
        <f>Chamber_A!B210</f>
        <v/>
      </c>
      <c r="B217">
        <f>A217+273.15</f>
        <v/>
      </c>
      <c r="C217">
        <f>EXP(-83144/(8.314*B217))</f>
        <v/>
      </c>
    </row>
    <row r="218">
      <c r="A218">
        <f>Chamber_A!B211</f>
        <v/>
      </c>
      <c r="B218">
        <f>A218+273.15</f>
        <v/>
      </c>
      <c r="C218">
        <f>EXP(-83144/(8.314*B218))</f>
        <v/>
      </c>
    </row>
    <row r="219">
      <c r="A219">
        <f>Chamber_A!B212</f>
        <v/>
      </c>
      <c r="B219">
        <f>A219+273.15</f>
        <v/>
      </c>
      <c r="C219">
        <f>EXP(-83144/(8.314*B219))</f>
        <v/>
      </c>
    </row>
    <row r="220">
      <c r="A220">
        <f>Chamber_A!B213</f>
        <v/>
      </c>
      <c r="B220">
        <f>A220+273.15</f>
        <v/>
      </c>
      <c r="C220">
        <f>EXP(-83144/(8.314*B220))</f>
        <v/>
      </c>
    </row>
    <row r="221">
      <c r="A221">
        <f>Chamber_A!B214</f>
        <v/>
      </c>
      <c r="B221">
        <f>A221+273.15</f>
        <v/>
      </c>
      <c r="C221">
        <f>EXP(-83144/(8.314*B221))</f>
        <v/>
      </c>
    </row>
    <row r="222">
      <c r="A222">
        <f>Chamber_A!B215</f>
        <v/>
      </c>
      <c r="B222">
        <f>A222+273.15</f>
        <v/>
      </c>
      <c r="C222">
        <f>EXP(-83144/(8.314*B222))</f>
        <v/>
      </c>
    </row>
    <row r="223">
      <c r="A223">
        <f>Chamber_A!B216</f>
        <v/>
      </c>
      <c r="B223">
        <f>A223+273.15</f>
        <v/>
      </c>
      <c r="C223">
        <f>EXP(-83144/(8.314*B223))</f>
        <v/>
      </c>
    </row>
    <row r="224">
      <c r="A224">
        <f>Chamber_A!B217</f>
        <v/>
      </c>
      <c r="B224">
        <f>A224+273.15</f>
        <v/>
      </c>
      <c r="C224">
        <f>EXP(-83144/(8.314*B224))</f>
        <v/>
      </c>
    </row>
    <row r="225">
      <c r="A225">
        <f>Chamber_A!B218</f>
        <v/>
      </c>
      <c r="B225">
        <f>A225+273.15</f>
        <v/>
      </c>
      <c r="C225">
        <f>EXP(-83144/(8.314*B225))</f>
        <v/>
      </c>
    </row>
    <row r="226">
      <c r="A226">
        <f>Chamber_A!B219</f>
        <v/>
      </c>
      <c r="B226">
        <f>A226+273.15</f>
        <v/>
      </c>
      <c r="C226">
        <f>EXP(-83144/(8.314*B226))</f>
        <v/>
      </c>
    </row>
    <row r="227">
      <c r="A227">
        <f>Chamber_A!B220</f>
        <v/>
      </c>
      <c r="B227">
        <f>A227+273.15</f>
        <v/>
      </c>
      <c r="C227">
        <f>EXP(-83144/(8.314*B227))</f>
        <v/>
      </c>
    </row>
    <row r="228">
      <c r="A228">
        <f>Chamber_A!B221</f>
        <v/>
      </c>
      <c r="B228">
        <f>A228+273.15</f>
        <v/>
      </c>
      <c r="C228">
        <f>EXP(-83144/(8.314*B228))</f>
        <v/>
      </c>
    </row>
    <row r="229">
      <c r="A229">
        <f>Chamber_A!B222</f>
        <v/>
      </c>
      <c r="B229">
        <f>A229+273.15</f>
        <v/>
      </c>
      <c r="C229">
        <f>EXP(-83144/(8.314*B229))</f>
        <v/>
      </c>
    </row>
    <row r="230">
      <c r="A230">
        <f>Chamber_A!B223</f>
        <v/>
      </c>
      <c r="B230">
        <f>A230+273.15</f>
        <v/>
      </c>
      <c r="C230">
        <f>EXP(-83144/(8.314*B230))</f>
        <v/>
      </c>
    </row>
    <row r="231">
      <c r="A231">
        <f>Chamber_A!B224</f>
        <v/>
      </c>
      <c r="B231">
        <f>A231+273.15</f>
        <v/>
      </c>
      <c r="C231">
        <f>EXP(-83144/(8.314*B231))</f>
        <v/>
      </c>
    </row>
    <row r="232">
      <c r="A232">
        <f>Chamber_A!B225</f>
        <v/>
      </c>
      <c r="B232">
        <f>A232+273.15</f>
        <v/>
      </c>
      <c r="C232">
        <f>EXP(-83144/(8.314*B232))</f>
        <v/>
      </c>
    </row>
    <row r="233">
      <c r="A233">
        <f>Chamber_A!B226</f>
        <v/>
      </c>
      <c r="B233">
        <f>A233+273.15</f>
        <v/>
      </c>
      <c r="C233">
        <f>EXP(-83144/(8.314*B233))</f>
        <v/>
      </c>
    </row>
    <row r="234">
      <c r="A234">
        <f>Chamber_A!B227</f>
        <v/>
      </c>
      <c r="B234">
        <f>A234+273.15</f>
        <v/>
      </c>
      <c r="C234">
        <f>EXP(-83144/(8.314*B234))</f>
        <v/>
      </c>
    </row>
    <row r="235">
      <c r="A235">
        <f>Chamber_A!B228</f>
        <v/>
      </c>
      <c r="B235">
        <f>A235+273.15</f>
        <v/>
      </c>
      <c r="C235">
        <f>EXP(-83144/(8.314*B235))</f>
        <v/>
      </c>
    </row>
    <row r="236">
      <c r="A236">
        <f>Chamber_A!B229</f>
        <v/>
      </c>
      <c r="B236">
        <f>A236+273.15</f>
        <v/>
      </c>
      <c r="C236">
        <f>EXP(-83144/(8.314*B236))</f>
        <v/>
      </c>
    </row>
    <row r="237">
      <c r="A237">
        <f>Chamber_A!B230</f>
        <v/>
      </c>
      <c r="B237">
        <f>A237+273.15</f>
        <v/>
      </c>
      <c r="C237">
        <f>EXP(-83144/(8.314*B237))</f>
        <v/>
      </c>
    </row>
    <row r="238">
      <c r="A238">
        <f>Chamber_A!B231</f>
        <v/>
      </c>
      <c r="B238">
        <f>A238+273.15</f>
        <v/>
      </c>
      <c r="C238">
        <f>EXP(-83144/(8.314*B238))</f>
        <v/>
      </c>
    </row>
    <row r="239">
      <c r="A239">
        <f>Chamber_A!B232</f>
        <v/>
      </c>
      <c r="B239">
        <f>A239+273.15</f>
        <v/>
      </c>
      <c r="C239">
        <f>EXP(-83144/(8.314*B239))</f>
        <v/>
      </c>
    </row>
    <row r="240">
      <c r="A240">
        <f>Chamber_A!B233</f>
        <v/>
      </c>
      <c r="B240">
        <f>A240+273.15</f>
        <v/>
      </c>
      <c r="C240">
        <f>EXP(-83144/(8.314*B240))</f>
        <v/>
      </c>
    </row>
    <row r="241">
      <c r="A241">
        <f>Chamber_A!B234</f>
        <v/>
      </c>
      <c r="B241">
        <f>A241+273.15</f>
        <v/>
      </c>
      <c r="C241">
        <f>EXP(-83144/(8.314*B241))</f>
        <v/>
      </c>
    </row>
    <row r="242">
      <c r="A242">
        <f>Chamber_A!B235</f>
        <v/>
      </c>
      <c r="B242">
        <f>A242+273.15</f>
        <v/>
      </c>
      <c r="C242">
        <f>EXP(-83144/(8.314*B242))</f>
        <v/>
      </c>
    </row>
    <row r="243">
      <c r="A243">
        <f>Chamber_A!B236</f>
        <v/>
      </c>
      <c r="B243">
        <f>A243+273.15</f>
        <v/>
      </c>
      <c r="C243">
        <f>EXP(-83144/(8.314*B243))</f>
        <v/>
      </c>
    </row>
    <row r="244">
      <c r="A244">
        <f>Chamber_A!B237</f>
        <v/>
      </c>
      <c r="B244">
        <f>A244+273.15</f>
        <v/>
      </c>
      <c r="C244">
        <f>EXP(-83144/(8.314*B244))</f>
        <v/>
      </c>
    </row>
    <row r="245">
      <c r="A245">
        <f>Chamber_A!B238</f>
        <v/>
      </c>
      <c r="B245">
        <f>A245+273.15</f>
        <v/>
      </c>
      <c r="C245">
        <f>EXP(-83144/(8.314*B245))</f>
        <v/>
      </c>
    </row>
    <row r="246">
      <c r="A246">
        <f>Chamber_A!B239</f>
        <v/>
      </c>
      <c r="B246">
        <f>A246+273.15</f>
        <v/>
      </c>
      <c r="C246">
        <f>EXP(-83144/(8.314*B246))</f>
        <v/>
      </c>
    </row>
    <row r="247">
      <c r="A247">
        <f>Chamber_A!B240</f>
        <v/>
      </c>
      <c r="B247">
        <f>A247+273.15</f>
        <v/>
      </c>
      <c r="C247">
        <f>EXP(-83144/(8.314*B247))</f>
        <v/>
      </c>
    </row>
    <row r="248">
      <c r="A248">
        <f>Chamber_A!B241</f>
        <v/>
      </c>
      <c r="B248">
        <f>A248+273.15</f>
        <v/>
      </c>
      <c r="C248">
        <f>EXP(-83144/(8.314*B248))</f>
        <v/>
      </c>
    </row>
    <row r="249">
      <c r="A249">
        <f>Chamber_A!B242</f>
        <v/>
      </c>
      <c r="B249">
        <f>A249+273.15</f>
        <v/>
      </c>
      <c r="C249">
        <f>EXP(-83144/(8.314*B249))</f>
        <v/>
      </c>
    </row>
    <row r="250">
      <c r="A250">
        <f>Chamber_A!B243</f>
        <v/>
      </c>
      <c r="B250">
        <f>A250+273.15</f>
        <v/>
      </c>
      <c r="C250">
        <f>EXP(-83144/(8.314*B250))</f>
        <v/>
      </c>
    </row>
    <row r="251">
      <c r="A251">
        <f>Chamber_A!B244</f>
        <v/>
      </c>
      <c r="B251">
        <f>A251+273.15</f>
        <v/>
      </c>
      <c r="C251">
        <f>EXP(-83144/(8.314*B251))</f>
        <v/>
      </c>
    </row>
    <row r="252">
      <c r="A252">
        <f>Chamber_A!B245</f>
        <v/>
      </c>
      <c r="B252">
        <f>A252+273.15</f>
        <v/>
      </c>
      <c r="C252">
        <f>EXP(-83144/(8.314*B252))</f>
        <v/>
      </c>
    </row>
    <row r="253">
      <c r="A253">
        <f>Chamber_A!B246</f>
        <v/>
      </c>
      <c r="B253">
        <f>A253+273.15</f>
        <v/>
      </c>
      <c r="C253">
        <f>EXP(-83144/(8.314*B253))</f>
        <v/>
      </c>
    </row>
    <row r="254">
      <c r="A254">
        <f>Chamber_A!B247</f>
        <v/>
      </c>
      <c r="B254">
        <f>A254+273.15</f>
        <v/>
      </c>
      <c r="C254">
        <f>EXP(-83144/(8.314*B254))</f>
        <v/>
      </c>
    </row>
    <row r="255">
      <c r="A255">
        <f>Chamber_A!B248</f>
        <v/>
      </c>
      <c r="B255">
        <f>A255+273.15</f>
        <v/>
      </c>
      <c r="C255">
        <f>EXP(-83144/(8.314*B255))</f>
        <v/>
      </c>
    </row>
    <row r="256">
      <c r="A256">
        <f>Chamber_A!B249</f>
        <v/>
      </c>
      <c r="B256">
        <f>A256+273.15</f>
        <v/>
      </c>
      <c r="C256">
        <f>EXP(-83144/(8.314*B256))</f>
        <v/>
      </c>
    </row>
    <row r="257">
      <c r="A257">
        <f>Chamber_A!B250</f>
        <v/>
      </c>
      <c r="B257">
        <f>A257+273.15</f>
        <v/>
      </c>
      <c r="C257">
        <f>EXP(-83144/(8.314*B257))</f>
        <v/>
      </c>
    </row>
    <row r="258">
      <c r="A258">
        <f>Chamber_A!B251</f>
        <v/>
      </c>
      <c r="B258">
        <f>A258+273.15</f>
        <v/>
      </c>
      <c r="C258">
        <f>EXP(-83144/(8.314*B258))</f>
        <v/>
      </c>
    </row>
    <row r="259">
      <c r="A259">
        <f>Chamber_A!B252</f>
        <v/>
      </c>
      <c r="B259">
        <f>A259+273.15</f>
        <v/>
      </c>
      <c r="C259">
        <f>EXP(-83144/(8.314*B259))</f>
        <v/>
      </c>
    </row>
    <row r="260">
      <c r="A260">
        <f>Chamber_A!B253</f>
        <v/>
      </c>
      <c r="B260">
        <f>A260+273.15</f>
        <v/>
      </c>
      <c r="C260">
        <f>EXP(-83144/(8.314*B260))</f>
        <v/>
      </c>
    </row>
    <row r="261">
      <c r="A261">
        <f>Chamber_A!B254</f>
        <v/>
      </c>
      <c r="B261">
        <f>A261+273.15</f>
        <v/>
      </c>
      <c r="C261">
        <f>EXP(-83144/(8.314*B261))</f>
        <v/>
      </c>
    </row>
    <row r="262">
      <c r="A262">
        <f>Chamber_A!B255</f>
        <v/>
      </c>
      <c r="B262">
        <f>A262+273.15</f>
        <v/>
      </c>
      <c r="C262">
        <f>EXP(-83144/(8.314*B262))</f>
        <v/>
      </c>
    </row>
    <row r="263">
      <c r="A263">
        <f>Chamber_A!B256</f>
        <v/>
      </c>
      <c r="B263">
        <f>A263+273.15</f>
        <v/>
      </c>
      <c r="C263">
        <f>EXP(-83144/(8.314*B263))</f>
        <v/>
      </c>
    </row>
    <row r="264">
      <c r="A264">
        <f>Chamber_A!B257</f>
        <v/>
      </c>
      <c r="B264">
        <f>A264+273.15</f>
        <v/>
      </c>
      <c r="C264">
        <f>EXP(-83144/(8.314*B264))</f>
        <v/>
      </c>
    </row>
    <row r="265">
      <c r="A265">
        <f>Chamber_A!B258</f>
        <v/>
      </c>
      <c r="B265">
        <f>A265+273.15</f>
        <v/>
      </c>
      <c r="C265">
        <f>EXP(-83144/(8.314*B265))</f>
        <v/>
      </c>
    </row>
    <row r="266">
      <c r="A266">
        <f>Chamber_A!B259</f>
        <v/>
      </c>
      <c r="B266">
        <f>A266+273.15</f>
        <v/>
      </c>
      <c r="C266">
        <f>EXP(-83144/(8.314*B266))</f>
        <v/>
      </c>
    </row>
    <row r="267">
      <c r="A267">
        <f>Chamber_A!B260</f>
        <v/>
      </c>
      <c r="B267">
        <f>A267+273.15</f>
        <v/>
      </c>
      <c r="C267">
        <f>EXP(-83144/(8.314*B267))</f>
        <v/>
      </c>
    </row>
    <row r="268">
      <c r="A268">
        <f>Chamber_A!B261</f>
        <v/>
      </c>
      <c r="B268">
        <f>A268+273.15</f>
        <v/>
      </c>
      <c r="C268">
        <f>EXP(-83144/(8.314*B268))</f>
        <v/>
      </c>
    </row>
    <row r="269">
      <c r="A269">
        <f>Chamber_A!B262</f>
        <v/>
      </c>
      <c r="B269">
        <f>A269+273.15</f>
        <v/>
      </c>
      <c r="C269">
        <f>EXP(-83144/(8.314*B269))</f>
        <v/>
      </c>
    </row>
    <row r="270">
      <c r="A270">
        <f>Chamber_A!B263</f>
        <v/>
      </c>
      <c r="B270">
        <f>A270+273.15</f>
        <v/>
      </c>
      <c r="C270">
        <f>EXP(-83144/(8.314*B270))</f>
        <v/>
      </c>
    </row>
    <row r="271">
      <c r="A271">
        <f>Chamber_A!B264</f>
        <v/>
      </c>
      <c r="B271">
        <f>A271+273.15</f>
        <v/>
      </c>
      <c r="C271">
        <f>EXP(-83144/(8.314*B271))</f>
        <v/>
      </c>
    </row>
    <row r="272">
      <c r="A272">
        <f>Chamber_A!B265</f>
        <v/>
      </c>
      <c r="B272">
        <f>A272+273.15</f>
        <v/>
      </c>
      <c r="C272">
        <f>EXP(-83144/(8.314*B272))</f>
        <v/>
      </c>
    </row>
    <row r="273">
      <c r="A273">
        <f>Chamber_A!B266</f>
        <v/>
      </c>
      <c r="B273">
        <f>A273+273.15</f>
        <v/>
      </c>
      <c r="C273">
        <f>EXP(-83144/(8.314*B273))</f>
        <v/>
      </c>
    </row>
    <row r="274">
      <c r="A274">
        <f>Chamber_A!B267</f>
        <v/>
      </c>
      <c r="B274">
        <f>A274+273.15</f>
        <v/>
      </c>
      <c r="C274">
        <f>EXP(-83144/(8.314*B274))</f>
        <v/>
      </c>
    </row>
    <row r="275">
      <c r="A275">
        <f>Chamber_A!B268</f>
        <v/>
      </c>
      <c r="B275">
        <f>A275+273.15</f>
        <v/>
      </c>
      <c r="C275">
        <f>EXP(-83144/(8.314*B275))</f>
        <v/>
      </c>
    </row>
    <row r="276">
      <c r="A276">
        <f>Chamber_A!B269</f>
        <v/>
      </c>
      <c r="B276">
        <f>A276+273.15</f>
        <v/>
      </c>
      <c r="C276">
        <f>EXP(-83144/(8.314*B276))</f>
        <v/>
      </c>
    </row>
    <row r="277">
      <c r="A277">
        <f>Chamber_A!B270</f>
        <v/>
      </c>
      <c r="B277">
        <f>A277+273.15</f>
        <v/>
      </c>
      <c r="C277">
        <f>EXP(-83144/(8.314*B277))</f>
        <v/>
      </c>
    </row>
    <row r="278">
      <c r="A278">
        <f>Chamber_A!B271</f>
        <v/>
      </c>
      <c r="B278">
        <f>A278+273.15</f>
        <v/>
      </c>
      <c r="C278">
        <f>EXP(-83144/(8.314*B278))</f>
        <v/>
      </c>
    </row>
    <row r="279">
      <c r="A279">
        <f>Chamber_A!B272</f>
        <v/>
      </c>
      <c r="B279">
        <f>A279+273.15</f>
        <v/>
      </c>
      <c r="C279">
        <f>EXP(-83144/(8.314*B279))</f>
        <v/>
      </c>
    </row>
    <row r="280">
      <c r="A280">
        <f>Chamber_A!B273</f>
        <v/>
      </c>
      <c r="B280">
        <f>A280+273.15</f>
        <v/>
      </c>
      <c r="C280">
        <f>EXP(-83144/(8.314*B280))</f>
        <v/>
      </c>
    </row>
    <row r="281">
      <c r="A281">
        <f>Chamber_A!B274</f>
        <v/>
      </c>
      <c r="B281">
        <f>A281+273.15</f>
        <v/>
      </c>
      <c r="C281">
        <f>EXP(-83144/(8.314*B281))</f>
        <v/>
      </c>
    </row>
    <row r="282">
      <c r="A282">
        <f>Chamber_A!B275</f>
        <v/>
      </c>
      <c r="B282">
        <f>A282+273.15</f>
        <v/>
      </c>
      <c r="C282">
        <f>EXP(-83144/(8.314*B282))</f>
        <v/>
      </c>
    </row>
    <row r="283">
      <c r="A283">
        <f>Chamber_A!B276</f>
        <v/>
      </c>
      <c r="B283">
        <f>A283+273.15</f>
        <v/>
      </c>
      <c r="C283">
        <f>EXP(-83144/(8.314*B283))</f>
        <v/>
      </c>
    </row>
    <row r="284">
      <c r="A284">
        <f>Chamber_A!B277</f>
        <v/>
      </c>
      <c r="B284">
        <f>A284+273.15</f>
        <v/>
      </c>
      <c r="C284">
        <f>EXP(-83144/(8.314*B284))</f>
        <v/>
      </c>
    </row>
    <row r="285">
      <c r="A285">
        <f>Chamber_A!B278</f>
        <v/>
      </c>
      <c r="B285">
        <f>A285+273.15</f>
        <v/>
      </c>
      <c r="C285">
        <f>EXP(-83144/(8.314*B285))</f>
        <v/>
      </c>
    </row>
    <row r="286">
      <c r="A286">
        <f>Chamber_A!B279</f>
        <v/>
      </c>
      <c r="B286">
        <f>A286+273.15</f>
        <v/>
      </c>
      <c r="C286">
        <f>EXP(-83144/(8.314*B286))</f>
        <v/>
      </c>
    </row>
    <row r="287">
      <c r="A287">
        <f>Chamber_A!B280</f>
        <v/>
      </c>
      <c r="B287">
        <f>A287+273.15</f>
        <v/>
      </c>
      <c r="C287">
        <f>EXP(-83144/(8.314*B287))</f>
        <v/>
      </c>
    </row>
    <row r="288">
      <c r="A288">
        <f>Chamber_A!B281</f>
        <v/>
      </c>
      <c r="B288">
        <f>A288+273.15</f>
        <v/>
      </c>
      <c r="C288">
        <f>EXP(-83144/(8.314*B288))</f>
        <v/>
      </c>
    </row>
    <row r="289">
      <c r="A289">
        <f>Chamber_A!B282</f>
        <v/>
      </c>
      <c r="B289">
        <f>A289+273.15</f>
        <v/>
      </c>
      <c r="C289">
        <f>EXP(-83144/(8.314*B289))</f>
        <v/>
      </c>
    </row>
    <row r="290">
      <c r="A290">
        <f>Chamber_A!B283</f>
        <v/>
      </c>
      <c r="B290">
        <f>A290+273.15</f>
        <v/>
      </c>
      <c r="C290">
        <f>EXP(-83144/(8.314*B290))</f>
        <v/>
      </c>
    </row>
    <row r="291">
      <c r="A291">
        <f>Chamber_A!B284</f>
        <v/>
      </c>
      <c r="B291">
        <f>A291+273.15</f>
        <v/>
      </c>
      <c r="C291">
        <f>EXP(-83144/(8.314*B291))</f>
        <v/>
      </c>
    </row>
    <row r="292">
      <c r="A292">
        <f>Chamber_A!B285</f>
        <v/>
      </c>
      <c r="B292">
        <f>A292+273.15</f>
        <v/>
      </c>
      <c r="C292">
        <f>EXP(-83144/(8.314*B292))</f>
        <v/>
      </c>
    </row>
    <row r="293">
      <c r="A293">
        <f>Chamber_A!B286</f>
        <v/>
      </c>
      <c r="B293">
        <f>A293+273.15</f>
        <v/>
      </c>
      <c r="C293">
        <f>EXP(-83144/(8.314*B293))</f>
        <v/>
      </c>
    </row>
    <row r="294">
      <c r="A294">
        <f>Chamber_A!B287</f>
        <v/>
      </c>
      <c r="B294">
        <f>A294+273.15</f>
        <v/>
      </c>
      <c r="C294">
        <f>EXP(-83144/(8.314*B294))</f>
        <v/>
      </c>
    </row>
    <row r="295">
      <c r="A295">
        <f>Chamber_A!B288</f>
        <v/>
      </c>
      <c r="B295">
        <f>A295+273.15</f>
        <v/>
      </c>
      <c r="C295">
        <f>EXP(-83144/(8.314*B295))</f>
        <v/>
      </c>
    </row>
    <row r="296">
      <c r="A296">
        <f>Chamber_A!B289</f>
        <v/>
      </c>
      <c r="B296">
        <f>A296+273.15</f>
        <v/>
      </c>
      <c r="C296">
        <f>EXP(-83144/(8.314*B296))</f>
        <v/>
      </c>
    </row>
    <row r="298">
      <c r="A298" s="5" t="inlineStr">
        <is>
          <t>n (valid points)</t>
        </is>
      </c>
      <c r="B298" s="6">
        <f>COUNT(A9:A296)</f>
        <v/>
      </c>
    </row>
    <row r="299">
      <c r="A299" s="5" t="inlineStr">
        <is>
          <t>Average exp term</t>
        </is>
      </c>
      <c r="B299" s="6">
        <f>AVERAGE(C9:C296)</f>
        <v/>
      </c>
    </row>
    <row r="300">
      <c r="A300" s="5" t="inlineStr">
        <is>
          <t>MKT (K)</t>
        </is>
      </c>
      <c r="B300" s="6">
        <f>-83144/(8.314*LN(B299))</f>
        <v/>
      </c>
    </row>
    <row r="301">
      <c r="A301" s="5" t="inlineStr">
        <is>
          <t>MKT (°C)</t>
        </is>
      </c>
      <c r="B301" s="6">
        <f>B300-273.15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9E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2025-12-30T09:20:49Z</dcterms:created>
  <dcterms:modified xmlns:dcterms="http://purl.org/dc/terms/" xmlns:xsi="http://www.w3.org/2001/XMLSchema-instance" xsi:type="dcterms:W3CDTF">2025-12-30T09:20:49Z</dcterms:modified>
</cp:coreProperties>
</file>